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45bb6c6b3e458b" /></Relationships>
</file>

<file path=xl/workbook.xml><?xml version="1.0" encoding="utf-8"?>
<x:workbook xmlns:x="http://schemas.openxmlformats.org/spreadsheetml/2006/main">
  <x:sheets>
    <x:sheet xmlns:r="http://schemas.openxmlformats.org/officeDocument/2006/relationships" name="Start here" sheetId="1" r:id="Rb744eb826cd6424e"/>
    <x:sheet xmlns:r="http://schemas.openxmlformats.org/officeDocument/2006/relationships" name="Summary" sheetId="2" r:id="Radee530e79f247a7"/>
    <x:sheet xmlns:r="http://schemas.openxmlformats.org/officeDocument/2006/relationships" name="1. Transaction" sheetId="3" r:id="R72c7ab866e5d42d1"/>
    <x:sheet xmlns:r="http://schemas.openxmlformats.org/officeDocument/2006/relationships" name="2. Purpose" sheetId="4" r:id="R1c30150ad9eb49ea"/>
    <x:sheet xmlns:r="http://schemas.openxmlformats.org/officeDocument/2006/relationships" name="3. Ownership" sheetId="5" r:id="R2fbbb77b9bdf4f92"/>
    <x:sheet xmlns:r="http://schemas.openxmlformats.org/officeDocument/2006/relationships" name="4. Income" sheetId="6" r:id="R9679a2b75ab84a0a"/>
    <x:sheet xmlns:r="http://schemas.openxmlformats.org/officeDocument/2006/relationships" name="4b. Add-backs" sheetId="7" r:id="R62c16a82dad9461d"/>
    <x:sheet xmlns:r="http://schemas.openxmlformats.org/officeDocument/2006/relationships" name="5. Portfolio" sheetId="8" r:id="R6d1d4019e9f945b9"/>
    <x:sheet xmlns:r="http://schemas.openxmlformats.org/officeDocument/2006/relationships" name="5b. Liabilities" sheetId="9" r:id="R6a9c26ff4f024d89"/>
    <x:sheet xmlns:r="http://schemas.openxmlformats.org/officeDocument/2006/relationships" name="6. Tenancies" sheetId="10" r:id="R670e67fea8284d6b"/>
    <x:sheet xmlns:r="http://schemas.openxmlformats.org/officeDocument/2006/relationships" name="6b. Lease terms" sheetId="11" r:id="R40b1fcd733434a0b"/>
    <x:sheet xmlns:r="http://schemas.openxmlformats.org/officeDocument/2006/relationships" name="7. Proceed" sheetId="12" r:id="Rd9ef485cbb794598"/>
  </x:sheets>
</x:workbook>
</file>

<file path=xl/sharedStrings.xml><?xml version="1.0" encoding="utf-8"?>
<x:sst xmlns:x="http://schemas.openxmlformats.org/spreadsheetml/2006/main">
  <x:si>
    <x:t xml:space="preserve">Commercial &amp; Industrial Finance Intake</x:t>
  </x:si>
  <x:si>
    <x:t xml:space="preserve">Client fact-find and interview guide — companion workbook</x:t>
  </x:si>
  <x:si>
    <x:t xml:space="preserve">PACK DETAILS</x:t>
  </x:si>
  <x:si>
    <x:t xml:space="preserve">Client / borrowing entity</x:t>
  </x:si>
  <x:si>
    <x:t xml:space="preserve">Property under consideration</x:t>
  </x:si>
  <x:si>
    <x:t xml:space="preserve">Our reference</x:t>
  </x:si>
  <x:si>
    <x:t xml:space="preserve">Adviser conducting the interview</x:t>
  </x:si>
  <x:si>
    <x:t xml:space="preserve">Date of interview</x:t>
  </x:si>
  <x:si>
    <x:t xml:space="preserve">Date pack completed</x:t>
  </x:si>
  <x:si>
    <x:t xml:space="preserve">HOW TO USE IT</x:t>
  </x:si>
  <x:si>
    <x:t xml:space="preserve">1.    Work through the numbered sheets in order. Each row is a question to ask.</x:t>
  </x:si>
  <x:si>
    <x:t xml:space="preserve">2.    Record answers in the cream input cells. Tick the option that applies where a list is given.</x:t>
  </x:si>
  <x:si>
    <x:t xml:space="preserve">3.    Leave anything unknown blank. A blank is safer than a guess, and it tells us what to chase.</x:t>
  </x:si>
  <x:si>
    <x:t xml:space="preserve">4.    Fields marked with a bronze asterisk are needed before the file can be assessed. The rest sharpen the picture.</x:t>
  </x:si>
  <x:si>
    <x:t xml:space="preserve">5.    Where there is more than one entity, financial period, property, liability or tenancy, use a fresh block. The companion workbook takes as many entries as you need.</x:t>
  </x:si>
  <x:si>
    <x:t xml:space="preserve">6.    Sign the declaration on the last page with the client, and collect the supporting documents listed alongside it.</x:t>
  </x:si>
  <x:si>
    <x:t xml:space="preserve">CONVENTIONS</x:t>
  </x:si>
  <x:si>
    <x:t xml:space="preserve">Amounts</x:t>
  </x:si>
  <x:si>
    <x:t xml:space="preserve">Australian dollars. Exclude GST unless the question says otherwise.</x:t>
  </x:si>
  <x:si>
    <x:t xml:space="preserve">Percentages</x:t>
  </x:si>
  <x:si>
    <x:t xml:space="preserve">Enter the number only — 6.5 means 6.5%, 100 means 100%.</x:t>
  </x:si>
  <x:si>
    <x:t xml:space="preserve">Dates</x:t>
  </x:si>
  <x:si>
    <x:t xml:space="preserve">dd/mm/yyyy.</x:t>
  </x:si>
  <x:si>
    <x:t xml:space="preserve">Cream cells</x:t>
  </x:si>
  <x:si>
    <x:t xml:space="preserve">Yours to fill in.</x:t>
  </x:si>
  <x:si>
    <x:t xml:space="preserve">Sand cells</x:t>
  </x:si>
  <x:si>
    <x:t xml:space="preserve">Calculated. Leave them alone — they update themselves.</x:t>
  </x:si>
  <x:si>
    <x:t xml:space="preserve">Blanks</x:t>
  </x:si>
  <x:si>
    <x:t xml:space="preserve">Safer than a guess. A blank tells us what still needs chasing.</x:t>
  </x:si>
  <x:si>
    <x:t xml:space="preserve">A NOTE ON STRUCTURES</x:t>
  </x:si>
  <x:si>
    <x:t xml:space="preserve">Individuals, family trusts and self-managed super funds acquire commercial and industrial property just as often as companies do, and each is assessed differently. Record the structure exactly as it will appear on the contract — including trustees and fund members — and name the owning entity against every existing property and debt. That is what allows the whole group to be combined into a single borrowing position, rather than this purchase being looked at in isolation.</x:t>
  </x:si>
  <x:si>
    <x:t xml:space="preserve">Company Name </x:t>
  </x:si>
  <x:si>
    <x:t xml:space="preserve">Website</x:t>
  </x:si>
  <x:si>
    <x:t xml:space="preserve">Email</x:t>
  </x:si>
  <x:si>
    <x:t xml:space="preserve">Phone</x:t>
  </x:si>
  <x:si>
    <x:t xml:space="preserve">Address</x:t>
  </x:si>
  <x:si>
    <x:t xml:space="preserve">ABN</x:t>
  </x:si>
  <x:si>
    <x:t xml:space="preserve">This pack is an information-gathering tool. It is not a credit approval, a pre-approval, an offer of finance, financial advice or legal advice, and it does not represent the credit policy of any particular lender.</x:t>
  </x:si>
  <x:si>
    <x:t xml:space="preserve">Indicative working figures</x:t>
  </x:si>
  <x:si>
    <x:t xml:space="preserve">Everything here is calculated from the sheets that follow. It is a working view for the adviser — not a credit assessment, a servicing decision or an offer of finance.</x:t>
  </x:si>
  <x:si>
    <x:t xml:space="preserve">ASSESSMENT BASIS</x:t>
  </x:si>
  <x:si>
    <x:t xml:space="preserve">Financial period being assessed</x:t>
  </x:si>
  <x:si>
    <x:t xml:space="preserve">Type the period label exactly as it appears on the Income sheet, e.g. FY2025.</x:t>
  </x:si>
  <x:si>
    <x:t xml:space="preserve">FUNDS REQUIRED</x:t>
  </x:si>
  <x:si>
    <x:t xml:space="preserve">Purchase price</x:t>
  </x:si>
  <x:si>
    <x:t xml:space="preserve">Acquisition and establishment costs</x:t>
  </x:si>
  <x:si>
    <x:t xml:space="preserve">Stamp duty, legal, valuation, lender and broker fees, fit-out, plant, repairs, immediate capital works and contingency.</x:t>
  </x:si>
  <x:si>
    <x:t xml:space="preserve">Existing debt being refinanced</x:t>
  </x:si>
  <x:si>
    <x:t xml:space="preserve">Total funds required</x:t>
  </x:si>
  <x:si>
    <x:t xml:space="preserve">FUNDS AVAILABLE</x:t>
  </x:si>
  <x:si>
    <x:t xml:space="preserve">Borrower contribution</x:t>
  </x:si>
  <x:si>
    <x:t xml:space="preserve">Loan requested</x:t>
  </x:si>
  <x:si>
    <x:t xml:space="preserve">Total funds available</x:t>
  </x:si>
  <x:si>
    <x:t xml:space="preserve">Surplus / (shortfall)</x:t>
  </x:si>
  <x:si>
    <x:t xml:space="preserve">Negative means the funding does not yet close. Revisit contribution, loan or costs.</x:t>
  </x:si>
  <x:si>
    <x:t xml:space="preserve">SECURITY AND GEARING</x:t>
  </x:si>
  <x:si>
    <x:t xml:space="preserve">Security value taken</x:t>
  </x:si>
  <x:si>
    <x:t xml:space="preserve">The lower of price and valuation, as lending is struck against that figure.</x:t>
  </x:si>
  <x:si>
    <x:t xml:space="preserve">Loan to value ratio</x:t>
  </x:si>
  <x:si>
    <x:t xml:space="preserve">Total property value across the group</x:t>
  </x:si>
  <x:si>
    <x:t xml:space="preserve">Subject property plus everything recorded on the Portfolio sheet.</x:t>
  </x:si>
  <x:si>
    <x:t xml:space="preserve">Total debt across the group</x:t>
  </x:si>
  <x:si>
    <x:t xml:space="preserve">Net position</x:t>
  </x:si>
  <x:si>
    <x:t xml:space="preserve">Group loan to value ratio</x:t>
  </x:si>
  <x:si>
    <x:t xml:space="preserve">ANNUAL COMMITMENTS</x:t>
  </x:si>
  <x:si>
    <x:t xml:space="preserve">New facility — indicative repayment</x:t>
  </x:si>
  <x:si>
    <x:t xml:space="preserve">Interest only uses rate × balance. Principal and interest amortises over the years recorded.</x:t>
  </x:si>
  <x:si>
    <x:t xml:space="preserve">Ongoing facility fees</x:t>
  </x:si>
  <x:si>
    <x:t xml:space="preserve">Existing property repayments</x:t>
  </x:si>
  <x:si>
    <x:t xml:space="preserve">Uses the figure recorded, or derives one from balance, rate and remaining term.</x:t>
  </x:si>
  <x:si>
    <x:t xml:space="preserve">Other liability repayments</x:t>
  </x:si>
  <x:si>
    <x:t xml:space="preserve">Total annual commitments</x:t>
  </x:si>
  <x:si>
    <x:t xml:space="preserve">INCOME</x:t>
  </x:si>
  <x:si>
    <x:t xml:space="preserve">EBITDA (selected period)</x:t>
  </x:si>
  <x:si>
    <x:t xml:space="preserve">Confirmed add-backs</x:t>
  </x:si>
  <x:si>
    <x:t xml:space="preserve">Only add-backs marked Confirmed are counted.</x:t>
  </x:si>
  <x:si>
    <x:t xml:space="preserve">Salary, distributions, dividends and other recurring income</x:t>
  </x:si>
  <x:si>
    <x:t xml:space="preserve">Subject property — gross rent</x:t>
  </x:si>
  <x:si>
    <x:t xml:space="preserve">Subject property — net rent after allowances</x:t>
  </x:si>
  <x:si>
    <x:t xml:space="preserve">Gross rent less the vacancy and management allowances, less outgoings the landlord absorbs.</x:t>
  </x:si>
  <x:si>
    <x:t xml:space="preserve">Existing portfolio — net rent</x:t>
  </x:si>
  <x:si>
    <x:t xml:space="preserve">Rent received less outgoings, rates, insurance, maintenance and management.</x:t>
  </x:si>
  <x:si>
    <x:t xml:space="preserve">Total assessable income (indicative)</x:t>
  </x:si>
  <x:si>
    <x:t xml:space="preserve">Rent is taken from the property sheets, so the Rent received line on the Income sheet is deliberately left out to avoid counting it twice.</x:t>
  </x:si>
  <x:si>
    <x:t xml:space="preserve">COVERAGE</x:t>
  </x:si>
  <x:si>
    <x:t xml:space="preserve">Indicative coverage (income ÷ commitments)</x:t>
  </x:si>
  <x:si>
    <x:t xml:space="preserve">A working ratio only. Every lender calculates servicing its own way.</x:t>
  </x:si>
  <x:si>
    <x:t xml:space="preserve">Indicative annual surplus</x:t>
  </x:si>
  <x:si>
    <x:t xml:space="preserve">Passing yield on the subject property</x:t>
  </x:si>
  <x:si>
    <x:t xml:space="preserve">CHECKS BEFORE THIS LEAVES YOUR DESK</x:t>
  </x:si>
  <x:si>
    <x:t xml:space="preserve">Ownership shares total 100%</x:t>
  </x:si>
  <x:si>
    <x:t xml:space="preserve">Every borrowing party on the Ownership sheet, added together.</x:t>
  </x:si>
  <x:si>
    <x:t xml:space="preserve">Funding closes</x:t>
  </x:si>
  <x:si>
    <x:t xml:space="preserve">Purpose is predominantly business or investment</x:t>
  </x:si>
  <x:si>
    <x:t xml:space="preserve">Residential security</x:t>
  </x:si>
  <x:si>
    <x:t xml:space="preserve">Valuation supports the price</x:t>
  </x:si>
  <x:si>
    <x:t xml:space="preserve">Add-backs confirmed against source</x:t>
  </x:si>
  <x:si>
    <x:t xml:space="preserve">Unconfirmed add-backs are excluded from the income figure above.</x:t>
  </x:si>
  <x:si>
    <x:t xml:space="preserve">Financial periods recorded</x:t>
  </x:si>
  <x:si>
    <x:t xml:space="preserve">Tenancy income recorded</x:t>
  </x:si>
  <x:si>
    <x:t xml:space="preserve">Property and transaction</x:t>
  </x:si>
  <x:si>
    <x:t xml:space="preserve">The property being bought or refinanced, what it costs to complete, and the facility being sought.</x:t>
  </x:si>
  <x:si>
    <x:t xml:space="preserve">QUESTION</x:t>
  </x:si>
  <x:si>
    <x:t xml:space="preserve">ANSWER</x:t>
  </x:si>
  <x:si>
    <x:t xml:space="preserve">GUIDANCE</x:t>
  </x:si>
  <x:si>
    <x:t xml:space="preserve">What kind of transaction is this — an investment purchase, owner-occupied premises, a refinance, or something else? ✱</x:t>
  </x:si>
  <x:si>
    <x:t xml:space="preserve">This decides which income drives the servicing test.  Options: Commercial investment | Industrial investment | Owner-occupied commercial | Owner-occupied industrial | Mixed use | Development or construction | Refinance | Equity release | Purchase plus fit-out | Lease-doc / low-doc</x:t>
  </x:si>
  <x:si>
    <x:t xml:space="preserve">What is the full street address of the property? ✱</x:t>
  </x:si>
  <x:si>
    <x:t xml:space="preserve">Which suburb? ✱</x:t>
  </x:si>
  <x:si>
    <x:t xml:space="preserve">Which state or territory? ✱</x:t>
  </x:si>
  <x:si>
    <x:t xml:space="preserve">Options: NSW | VIC | QLD | WA | SA | TAS | ACT | NT</x:t>
  </x:si>
  <x:si>
    <x:t xml:space="preserve">Postcode? ✱</x:t>
  </x:si>
  <x:si>
    <x:t xml:space="preserve">Is the property commercial, industrial, mixed use, land or specialised? ✱</x:t>
  </x:si>
  <x:si>
    <x:t xml:space="preserve">Options: Commercial | Industrial | Mixed use | Land | Specialised</x:t>
  </x:si>
  <x:si>
    <x:t xml:space="preserve">What type of building is it — office, retail, warehouse, and so on? ✱</x:t>
  </x:si>
  <x:si>
    <x:t xml:space="preserve">Options: Office | Retail | Warehouse | Logistics | Manufacturing | Cold storage | Medical | Childcare | Hospitality | Showroom | Transport yard | Data centre | Mixed use | Other</x:t>
  </x:si>
  <x:si>
    <x:t xml:space="preserve">What is the purchase price, or the price being negotiated? ✱</x:t>
  </x:si>
  <x:si>
    <x:t xml:space="preserve">Is there a valuation, or an estimate of what it is worth? ✱</x:t>
  </x:si>
  <x:si>
    <x:t xml:space="preserve">Lending is struck against the lower of price and valuation.</x:t>
  </x:si>
  <x:si>
    <x:t xml:space="preserve">When was that valuation done?</x:t>
  </x:si>
  <x:si>
    <x:t xml:space="preserve">Optional.</x:t>
  </x:si>
  <x:si>
    <x:t xml:space="preserve">Who prepared it?</x:t>
  </x:si>
  <x:si>
    <x:t xml:space="preserve">Has a contract been signed, and if so when?</x:t>
  </x:si>
  <x:si>
    <x:t xml:space="preserve">When is settlement due?</x:t>
  </x:si>
  <x:si>
    <x:t xml:space="preserve">How is GST being handled — going concern, margin scheme, plus GST, or not yet decided? ✱</x:t>
  </x:si>
  <x:si>
    <x:t xml:space="preserve">Options: Going concern (GST-free) | Margin scheme | Plus GST | GST inclusive in price | Input taxed | Not yet determined</x:t>
  </x:si>
  <x:si>
    <x:t xml:space="preserve">How large is the lettable area?</x:t>
  </x:si>
  <x:si>
    <x:t xml:space="preserve">How large is the site?</x:t>
  </x:si>
  <x:si>
    <x:t xml:space="preserve">Estimated stamp duty? ✱</x:t>
  </x:si>
  <x:si>
    <x:t xml:space="preserve">Legal and conveyancing costs?</x:t>
  </x:si>
  <x:si>
    <x:t xml:space="preserve">Valuation fees?</x:t>
  </x:si>
  <x:si>
    <x:t xml:space="preserve">Any lender or broker fees?</x:t>
  </x:si>
  <x:si>
    <x:t xml:space="preserve">Is any fit-out being funded?</x:t>
  </x:si>
  <x:si>
    <x:t xml:space="preserve">Plant or equipment being purchased with it?</x:t>
  </x:si>
  <x:si>
    <x:t xml:space="preserve">Immediate repairs needed?</x:t>
  </x:si>
  <x:si>
    <x:t xml:space="preserve">Any capital works planned straight away?</x:t>
  </x:si>
  <x:si>
    <x:t xml:space="preserve">What contingency should we allow?</x:t>
  </x:si>
  <x:si>
    <x:t xml:space="preserve">How much of their own funds is the borrower contributing? ✱</x:t>
  </x:si>
  <x:si>
    <x:t xml:space="preserve">If refinancing, what is the existing balance?</x:t>
  </x:si>
  <x:si>
    <x:t xml:space="preserve">Is any equity being released, and what for?</x:t>
  </x:si>
  <x:si>
    <x:t xml:space="preserve">How much are they looking to borrow? ✱</x:t>
  </x:si>
  <x:si>
    <x:t xml:space="preserve">What rate are we assuming? ✱</x:t>
  </x:si>
  <x:si>
    <x:t xml:space="preserve">Principal and interest, or interest only? ✱</x:t>
  </x:si>
  <x:si>
    <x:t xml:space="preserve">Options: Principal and interest | Interest only | Residual / balloon</x:t>
  </x:si>
  <x:si>
    <x:t xml:space="preserve">What facility term? ✱</x:t>
  </x:si>
  <x:si>
    <x:t xml:space="preserve">Over how many years does it amortise? ✱</x:t>
  </x:si>
  <x:si>
    <x:t xml:space="preserve">Any interest-only period at the start?</x:t>
  </x:si>
  <x:si>
    <x:t xml:space="preserve">Is there a residual or balloon at the end?</x:t>
  </x:si>
  <x:si>
    <x:t xml:space="preserve">Establishment fees?</x:t>
  </x:si>
  <x:si>
    <x:t xml:space="preserve">Ongoing annual fees?</x:t>
  </x:si>
  <x:si>
    <x:t xml:space="preserve">Purpose and regulation</x:t>
  </x:si>
  <x:si>
    <x:t xml:space="preserve">Why they are borrowing. This drives the compliance classification, so record it in the client's own words.</x:t>
  </x:si>
  <x:si>
    <x:t xml:space="preserve">In their own words, what are the funds for? ✱</x:t>
  </x:si>
  <x:si>
    <x:t xml:space="preserve">The predominant purpose of the credit governs how it is regulated — the asset class does not.</x:t>
  </x:si>
  <x:si>
    <x:t xml:space="preserve">Is the borrowing predominantly for business or investment purposes? ✱</x:t>
  </x:si>
  <x:si>
    <x:t xml:space="preserve">If the answer is No, or is not yet known, the file needs specialist review before it goes any further.  Options: Yes | No | Not yet known</x:t>
  </x:si>
  <x:si>
    <x:t xml:space="preserve">Is any residential property being offered as security? ✱</x:t>
  </x:si>
  <x:si>
    <x:t xml:space="preserve">Options: Yes | No | Not yet known</x:t>
  </x:si>
  <x:si>
    <x:t xml:space="preserve">Borrowing entities</x:t>
  </x:si>
  <x:si>
    <x:t xml:space="preserve">One entry per borrowing party. Individuals, trusts and SMSFs all buy commercial and industrial property — capture the structure exactly, including trustees and members, because it determines how the group position is assessed.</x:t>
  </x:si>
  <x:si>
    <x:t xml:space="preserve">ENTITY OR PERSON NAME ✱</x:t>
  </x:si>
  <x:si>
    <x:t xml:space="preserve">STRUCTURE ✱</x:t>
  </x:si>
  <x:si>
    <x:t xml:space="preserve">ABN / ACN</x:t>
  </x:si>
  <x:si>
    <x:t xml:space="preserve">OWNERSHIP (%) ✱</x:t>
  </x:si>
  <x:si>
    <x:t xml:space="preserve">DIRECTORS</x:t>
  </x:si>
  <x:si>
    <x:t xml:space="preserve">TRUSTEE(S)</x:t>
  </x:si>
  <x:si>
    <x:t xml:space="preserve">BENEFICIARIES / MEMBERS</x:t>
  </x:si>
  <x:si>
    <x:t xml:space="preserve">PROVIDES A GUARANTEE</x:t>
  </x:si>
  <x:si>
    <x:t xml:space="preserve">RELATED ENTITIES</x:t>
  </x:si>
  <x:si>
    <x:t xml:space="preserve">YEARS TRADING</x:t>
  </x:si>
  <x:si>
    <x:t xml:space="preserve">INDUSTRY</x:t>
  </x:si>
  <x:si>
    <x:t xml:space="preserve">RESIDENCY</x:t>
  </x:si>
  <x:si>
    <x:t xml:space="preserve">TAX RESIDENCY</x:t>
  </x:si>
  <x:si>
    <x:t xml:space="preserve">BENEFICIAL OWNERSHIP / CONTROL</x:t>
  </x:si>
  <x:si>
    <x:t xml:space="preserve">NOTES</x:t>
  </x:si>
  <x:si>
    <x:t xml:space="preserve">Ownership (%) — All parties must total 100%.</x:t>
  </x:si>
  <x:si>
    <x:t xml:space="preserve">Beneficial ownership / control — Recorded here for the file. Formal identity verification is handled separately.</x:t>
  </x:si>
  <x:si>
    <x:t xml:space="preserve">Fields marked ✱ are needed before the file can be assessed.</x:t>
  </x:si>
  <x:si>
    <x:t xml:space="preserve">Financial periods</x:t>
  </x:si>
  <x:si>
    <x:t xml:space="preserve">One entry per financial year. Two or three years lets us weight the trend rather than relying on a single period.</x:t>
  </x:si>
  <x:si>
    <x:t xml:space="preserve">PERIOD ✱</x:t>
  </x:si>
  <x:si>
    <x:t xml:space="preserve">PERIOD END DATE ✱</x:t>
  </x:si>
  <x:si>
    <x:t xml:space="preserve">BASIS ✱</x:t>
  </x:si>
  <x:si>
    <x:t xml:space="preserve">VERIFICATION ✱</x:t>
  </x:si>
  <x:si>
    <x:t xml:space="preserve">SALARY AND WAGES</x:t>
  </x:si>
  <x:si>
    <x:t xml:space="preserve">BUSINESS REVENUE</x:t>
  </x:si>
  <x:si>
    <x:t xml:space="preserve">EBITDA</x:t>
  </x:si>
  <x:si>
    <x:t xml:space="preserve">NET PROFIT AFTER TAX</x:t>
  </x:si>
  <x:si>
    <x:t xml:space="preserve">DEPRECIATION</x:t>
  </x:si>
  <x:si>
    <x:t xml:space="preserve">INTEREST EXPENSE</x:t>
  </x:si>
  <x:si>
    <x:t xml:space="preserve">DIRECTOR REMUNERATION</x:t>
  </x:si>
  <x:si>
    <x:t xml:space="preserve">TRUST DISTRIBUTIONS</x:t>
  </x:si>
  <x:si>
    <x:t xml:space="preserve">DIVIDENDS</x:t>
  </x:si>
  <x:si>
    <x:t xml:space="preserve">RENT RECEIVED</x:t>
  </x:si>
  <x:si>
    <x:t xml:space="preserve">OTHER RECURRING INCOME</x:t>
  </x:si>
  <x:si>
    <x:t xml:space="preserve">NON-RECURRING INCOME</x:t>
  </x:si>
  <x:si>
    <x:t xml:space="preserve">Non-recurring income — Treated as nil for servicing unless there is a documented reason to include it.</x:t>
  </x:si>
  <x:si>
    <x:t xml:space="preserve">Add-backs</x:t>
  </x:si>
  <x:si>
    <x:t xml:space="preserve">Expenses added back to earnings. Each one needs an amount, a reason and a source document before it counts towards income.</x:t>
  </x:si>
  <x:si>
    <x:t xml:space="preserve">CATEGORY ✱</x:t>
  </x:si>
  <x:si>
    <x:t xml:space="preserve">AMOUNT ✱</x:t>
  </x:si>
  <x:si>
    <x:t xml:space="preserve">REASON ✱</x:t>
  </x:si>
  <x:si>
    <x:t xml:space="preserve">SOURCE DOCUMENT ✱</x:t>
  </x:si>
  <x:si>
    <x:t xml:space="preserve">CONFIRMED ✱</x:t>
  </x:si>
  <x:si>
    <x:t xml:space="preserve">Period — Use the same label as the financial period above.</x:t>
  </x:si>
  <x:si>
    <x:t xml:space="preserve">Confirmed — An add-back is left out of income until this is Yes and a reason and source are recorded.</x:t>
  </x:si>
  <x:si>
    <x:t xml:space="preserve">Existing properties</x:t>
  </x:si>
  <x:si>
    <x:t xml:space="preserve">Everything they already own, across every entity. Without this the result is a standalone deal rather than a whole-of-group borrowing position.</x:t>
  </x:si>
  <x:si>
    <x:t xml:space="preserve">PROPERTY ADDRESS ✱</x:t>
  </x:si>
  <x:si>
    <x:t xml:space="preserve">OWNING ENTITY ✱</x:t>
  </x:si>
  <x:si>
    <x:t xml:space="preserve">ASSET TYPE ✱</x:t>
  </x:si>
  <x:si>
    <x:t xml:space="preserve">CURRENT VALUE ✱</x:t>
  </x:si>
  <x:si>
    <x:t xml:space="preserve">LOAN BALANCE ✱</x:t>
  </x:si>
  <x:si>
    <x:t xml:space="preserve">LENDER</x:t>
  </x:si>
  <x:si>
    <x:t xml:space="preserve">FACILITY LIMIT</x:t>
  </x:si>
  <x:si>
    <x:t xml:space="preserve">INTEREST RATE (%) ✱</x:t>
  </x:si>
  <x:si>
    <x:t xml:space="preserve">REPAYMENT TYPE ✱</x:t>
  </x:si>
  <x:si>
    <x:t xml:space="preserve">REMAINING TERM (YEARS)</x:t>
  </x:si>
  <x:si>
    <x:t xml:space="preserve">ANNUAL REPAYMENTS</x:t>
  </x:si>
  <x:si>
    <x:t xml:space="preserve">ANNUAL RENT RECEIVED</x:t>
  </x:si>
  <x:si>
    <x:t xml:space="preserve">LEASE EXPIRY</x:t>
  </x:si>
  <x:si>
    <x:t xml:space="preserve">VACANCY (%)</x:t>
  </x:si>
  <x:si>
    <x:t xml:space="preserve">OUTGOINGS</x:t>
  </x:si>
  <x:si>
    <x:t xml:space="preserve">RATES</x:t>
  </x:si>
  <x:si>
    <x:t xml:space="preserve">INSURANCE</x:t>
  </x:si>
  <x:si>
    <x:t xml:space="preserve">MAINTENANCE</x:t>
  </x:si>
  <x:si>
    <x:t xml:space="preserve">MANAGEMENT COSTS</x:t>
  </x:si>
  <x:si>
    <x:t xml:space="preserve">CROSS-COLLATERALISED</x:t>
  </x:si>
  <x:si>
    <x:t xml:space="preserve">ANNUAL REPAYMENT USED (CALCULATED)</x:t>
  </x:si>
  <x:si>
    <x:t xml:space="preserve">Owning entity — Use the same name recorded in Section 3 so the group position adds up.</x:t>
  </x:si>
  <x:si>
    <x:t xml:space="preserve">Annual repayments — Leave blank and it is derived from balance, rate and term.</x:t>
  </x:si>
  <x:si>
    <x:t xml:space="preserve">Other liabilities</x:t>
  </x:si>
  <x:si>
    <x:t xml:space="preserve">Debts not already listed against a property above — cards, overdrafts, equipment finance, tax debts and guarantees.</x:t>
  </x:si>
  <x:si>
    <x:t xml:space="preserve">DESCRIPTION ✱</x:t>
  </x:si>
  <x:si>
    <x:t xml:space="preserve">TYPE ✱</x:t>
  </x:si>
  <x:si>
    <x:t xml:space="preserve">HELD BY (ENTITY) ✱</x:t>
  </x:si>
  <x:si>
    <x:t xml:space="preserve">BALANCE OWING ✱</x:t>
  </x:si>
  <x:si>
    <x:t xml:space="preserve">LIMIT ✱</x:t>
  </x:si>
  <x:si>
    <x:t xml:space="preserve">INTEREST RATE (%)</x:t>
  </x:si>
  <x:si>
    <x:t xml:space="preserve">REPAYMENT TYPE</x:t>
  </x:si>
  <x:si>
    <x:t xml:space="preserve">CONTINGENT / GUARANTEE</x:t>
  </x:si>
  <x:si>
    <x:t xml:space="preserve">Held by (entity) — Use the same name recorded in Section 3.</x:t>
  </x:si>
  <x:si>
    <x:t xml:space="preserve">Limit — Cards and overdrafts are assessed on the limit, not the balance.</x:t>
  </x:si>
  <x:si>
    <x:t xml:space="preserve">Tenancies in this property</x:t>
  </x:si>
  <x:si>
    <x:t xml:space="preserve">The leases in the property being acquired. This income is what the coverage tests are struck against.</x:t>
  </x:si>
  <x:si>
    <x:t xml:space="preserve">TENANT ✱</x:t>
  </x:si>
  <x:si>
    <x:t xml:space="preserve">ANNUAL RENT ✱</x:t>
  </x:si>
  <x:si>
    <x:t xml:space="preserve">AREA (M²)</x:t>
  </x:si>
  <x:si>
    <x:t xml:space="preserve">LEASE START</x:t>
  </x:si>
  <x:si>
    <x:t xml:space="preserve">LEASE EXPIRY ✱</x:t>
  </x:si>
  <x:si>
    <x:t xml:space="preserve">OPTIONS (YEARS)</x:t>
  </x:si>
  <x:si>
    <x:t xml:space="preserve">ANNUAL INCREASE (%)</x:t>
  </x:si>
  <x:si>
    <x:t xml:space="preserve">TENANT QUALITY</x:t>
  </x:si>
  <x:si>
    <x:t xml:space="preserve">LEASE VERIFICATION</x:t>
  </x:si>
  <x:si>
    <x:t xml:space="preserve">Lease terms and allowances</x:t>
  </x:si>
  <x:si>
    <x:t xml:space="preserve">How the leases are written and what allowances to apply.</x:t>
  </x:si>
  <x:si>
    <x:t xml:space="preserve">Are the leases net or gross? ✱</x:t>
  </x:si>
  <x:si>
    <x:t xml:space="preserve">Options: Net — tenant pays outgoings | Gross — landlord pays outgoings | Semi-gross</x:t>
  </x:si>
  <x:si>
    <x:t xml:space="preserve">What outgoings are recovered from tenants?</x:t>
  </x:si>
  <x:si>
    <x:t xml:space="preserve">What outgoings does the landlord absorb?</x:t>
  </x:si>
  <x:si>
    <x:t xml:space="preserve">What vacancy allowance should we apply?</x:t>
  </x:si>
  <x:si>
    <x:t xml:space="preserve">What management allowance?</x:t>
  </x:si>
  <x:si>
    <x:t xml:space="preserve">What would market rent be?</x:t>
  </x:si>
  <x:si>
    <x:t xml:space="preserve">Any rent-free period?</x:t>
  </x:si>
  <x:si>
    <x:t xml:space="preserve">Next steps</x:t>
  </x:si>
  <x:si>
    <x:t xml:space="preserve">Complete this with the client once the figures above have been discussed.</x:t>
  </x:si>
  <x:si>
    <x:t xml:space="preserve">Does the client wish to proceed with a finance application?</x:t>
  </x:si>
  <x:si>
    <x:t xml:space="preserve">If yes, what is the preferred settlement timeframe?</x:t>
  </x:si>
  <x:si>
    <x:t xml:space="preserve">Which lender or lenders have they already approached, if any?</x:t>
  </x:si>
  <x:si>
    <x:t xml:space="preserve">Is there an existing broker or adviser involved?</x:t>
  </x:si>
  <x:si>
    <x:t xml:space="preserve">What conditions or concerns do they want addressed first?</x:t>
  </x:si>
  <x:si>
    <x:t xml:space="preserve">Who is the primary contact, and what is the best number and email?</x:t>
  </x:si>
  <x:si>
    <x:t xml:space="preserve">SUPPORTING DOCUMENTS TO COLLECT</x:t>
  </x:si>
  <x:si>
    <x:t xml:space="preserve">DOCUMENT</x:t>
  </x:si>
  <x:si>
    <x:t xml:space="preserve">HELD</x:t>
  </x:si>
  <x:si>
    <x:t xml:space="preserve">DATE RECEIVED</x:t>
  </x:si>
  <x:si>
    <x:t xml:space="preserve">Contract of sale or heads of agreement</x:t>
  </x:si>
  <x:si>
    <x:t xml:space="preserve">Current lease(s) and any rent roll</x:t>
  </x:si>
  <x:si>
    <x:t xml:space="preserve">Last two years of financial statements and tax returns</x:t>
  </x:si>
  <x:si>
    <x:t xml:space="preserve">Most recent notices of assessment</x:t>
  </x:si>
  <x:si>
    <x:t xml:space="preserve">Trust deed or SMSF trust deed and investment strategy, where applicable</x:t>
  </x:si>
  <x:si>
    <x:t xml:space="preserve">Company constitution and ASIC extract, where applicable</x:t>
  </x:si>
  <x:si>
    <x:t xml:space="preserve">Rates and insurance notices for the property</x:t>
  </x:si>
  <x:si>
    <x:t xml:space="preserve">Statements for existing loans, cards and equipment finance</x:t>
  </x:si>
  <x:si>
    <x:t xml:space="preserve">Identification for every borrower, director, trustee and guarantor</x:t>
  </x:si>
  <x:si>
    <x:t xml:space="preserve">Council or planning approvals, where the property is being developed or changed</x:t>
  </x:si>
  <x:si>
    <x:t xml:space="preserve">Aged debtors and creditors, or an ATO integrated client account statement</x:t>
  </x:si>
  <x:si>
    <x:t xml:space="preserve">DECLARATION</x:t>
  </x:si>
  <x:si>
    <x:t xml:space="preserve">The information recorded in this pack has been provided by the client and is, to the best of their knowledge, accurate at the date below. It will be verified against source documents before any finance application is made.</x:t>
  </x:si>
  <x:si>
    <x:t xml:space="preserve">The client consents to Meridian Commercial Advisory collecting, holding and using the information in this pack for the purpose of assessing and, if instructed, arranging commercial or industrial finance, and to it being disclosed to prospective lenders, valuers, insurers and professional advisers engaged for that purpose.</x:t>
  </x:si>
  <x:si>
    <x:t xml:space="preserve">Client name</x:t>
  </x:si>
  <x:si>
    <x:t xml:space="preserve">Position / capacity</x:t>
  </x:si>
  <x:si>
    <x:t xml:space="preserve">Signature</x:t>
  </x:si>
  <x:si>
    <x:t xml:space="preserve">Date</x:t>
  </x:si>
  <x:si>
    <x:t xml:space="preserve">Completed by (Company Name)</x:t>
  </x:si>
  <x:si>
    <x:t xml:space="preserve">Adviser signature</x:t>
  </x:si>
</x:sst>
</file>

<file path=xl/styles.xml><?xml version="1.0" encoding="utf-8"?>
<x:styleSheet xmlns:x="http://schemas.openxmlformats.org/spreadsheetml/2006/main">
  <x:numFmts count="10">
    <x:numFmt numFmtId="164" formatCode="\$#,##0;&quot;($&quot;#,##0\);\—"/>
    <x:numFmt numFmtId="165" formatCode="0.0%;\(0.0%\);\—"/>
    <x:numFmt numFmtId="166" formatCode="0.00\x;\(0.00&quot;x)&quot;;\—"/>
    <x:numFmt numFmtId="167" formatCode="dd/mm/yyyy"/>
    <x:numFmt numFmtId="168" formatCode="#,##0;\(#,##0\);\—"/>
    <x:numFmt numFmtId="169" formatCode="0.#"/>
    <x:numFmt numFmtId="200" formatCode="$#,##0;[Red]($#,##0);-"/>
    <x:numFmt numFmtId="201" formatCode="0.00%"/>
    <x:numFmt numFmtId="202" formatCode="0.00"/>
    <x:numFmt numFmtId="203" formatCode="0.0"/>
  </x:numFmts>
  <x:fonts count="17">
    <x:font>
      <x:sz val="11"/>
      <x:color theme="1"/>
      <x:name val="Calibri"/>
    </x:font>
    <x:font>
      <x:b/>
      <x:sz val="9"/>
      <x:color rgb="FFA9853F"/>
      <x:name val="Arial"/>
    </x:font>
    <x:font>
      <x:b/>
      <x:sz val="17"/>
      <x:color rgb="FF5C3F1F"/>
      <x:name val="Arial"/>
    </x:font>
    <x:font>
      <x:i/>
      <x:sz val="10"/>
      <x:color rgb="FF6B7280"/>
      <x:name val="Arial"/>
    </x:font>
    <x:font>
      <x:b/>
      <x:sz val="10"/>
      <x:color rgb="FF1F2937"/>
      <x:name val="Arial"/>
    </x:font>
    <x:font>
      <x:sz val="10"/>
      <x:color rgb="FF1F2937"/>
      <x:name val="Arial"/>
    </x:font>
    <x:font>
      <x:i/>
      <x:sz val="9"/>
      <x:color rgb="FF6B7280"/>
      <x:name val="Arial"/>
    </x:font>
    <x:font>
      <x:b/>
      <x:sz val="15"/>
      <x:color rgb="FF5C3F1F"/>
      <x:name val="Arial"/>
    </x:font>
    <x:font>
      <x:b/>
      <x:sz val="10"/>
      <x:color rgb="FF5C3F1F"/>
      <x:name val="Arial"/>
    </x:font>
    <x:font>
      <x:b/>
      <x:sz val="11"/>
      <x:color rgb="FF5C3F1F"/>
      <x:name val="Arial"/>
    </x:font>
    <x:font>
      <x:b/>
      <x:sz val="9"/>
      <x:color rgb="FFFFFFFF"/>
      <x:name val="Arial"/>
    </x:font>
    <x:font>
      <x:b/>
      <x:sz val="11"/>
      <x:color rgb="FFC00000"/>
      <x:name val="Calibri"/>
    </x:font>
    <x:font>
      <x:sz val="10"/>
      <x:color rgb="FF0000FF"/>
      <x:name val="Arial"/>
    </x:font>
    <x:font>
      <x:sz val="11"/>
      <x:color rgb="FF0000FF"/>
      <x:name val="Calibri"/>
    </x:font>
    <x:font>
      <x:b/>
      <x:sz val="10"/>
      <x:color rgb="FF0000FF"/>
      <x:name val="Arial"/>
    </x:font>
    <x:font>
      <x:b/>
      <x:sz val="10"/>
      <x:color rgb="FF000000"/>
      <x:name val="Arial"/>
    </x:font>
    <x:font>
      <x:b/>
      <x:i/>
      <x:sz val="9"/>
      <x:color rgb="FFC00000"/>
      <x:name val="Arial"/>
    </x:font>
  </x:fonts>
  <x:fills count="7">
    <x:fill>
      <x:patternFill patternType="none"/>
    </x:fill>
    <x:fill>
      <x:patternFill patternType="gray125"/>
    </x:fill>
    <x:fill>
      <x:patternFill patternType="solid">
        <x:fgColor rgb="FFFFFDF7"/>
      </x:patternFill>
    </x:fill>
    <x:fill>
      <x:patternFill patternType="solid">
        <x:fgColor rgb="FFF4F0E8"/>
      </x:patternFill>
    </x:fill>
    <x:fill>
      <x:patternFill patternType="solid">
        <x:fgColor rgb="FF5C3F1F"/>
      </x:patternFill>
    </x:fill>
    <x:fill>
      <x:patternFill patternType="solid">
        <x:fgColor rgb="FFFBFAF7"/>
      </x:patternFill>
    </x:fill>
    <x:fill>
      <x:patternFill patternType="solid">
        <x:fgColor rgb="FFA9853F"/>
      </x:patternFill>
    </x:fill>
  </x:fills>
  <x:borders count="10">
    <x:border/>
    <x:border>
      <x:left style="medium">
        <x:color rgb="FFC9AE7C"/>
      </x:left>
      <x:right style="thin">
        <x:color rgb="FFD8D0C2"/>
      </x:right>
      <x:top style="hair">
        <x:color rgb="FFE8E3D9"/>
      </x:top>
      <x:bottom style="hair">
        <x:color rgb="FFE8E3D9"/>
      </x:bottom>
    </x:border>
    <x:border>
      <x:bottom style="medium">
        <x:color rgb="FFA9853F"/>
      </x:bottom>
    </x:border>
    <x:border>
      <x:left style="thin">
        <x:color rgb="FFD8D0C2"/>
      </x:left>
      <x:right style="thin">
        <x:color rgb="FFD8D0C2"/>
      </x:right>
      <x:top style="hair">
        <x:color rgb="FFE8E3D9"/>
      </x:top>
      <x:bottom style="hair">
        <x:color rgb="FFE8E3D9"/>
      </x:bottom>
    </x:border>
    <x:border>
      <x:left style="hair">
        <x:color rgb="FFE8E3D9"/>
      </x:left>
      <x:right style="hair">
        <x:color rgb="FFE8E3D9"/>
      </x:right>
      <x:top style="hair">
        <x:color rgb="FFE8E3D9"/>
      </x:top>
      <x:bottom style="hair">
        <x:color rgb="FFE8E3D9"/>
      </x:bottom>
    </x:border>
    <x:border/>
    <x:border>
      <x:left style="medium">
        <x:color rgb="FFC9AE7C"/>
      </x:left>
      <x:right style="thin">
        <x:color rgb="FFD8D0C2"/>
      </x:right>
      <x:top style="hair">
        <x:color rgb="FFE8E3D9"/>
      </x:top>
      <x:bottom style="hair">
        <x:color rgb="FFE8E3D9"/>
      </x:bottom>
    </x:border>
    <x:border>
      <x:bottom style="medium">
        <x:color rgb="FFA9853F"/>
      </x:bottom>
    </x:border>
    <x:border>
      <x:left style="thin">
        <x:color rgb="FFD8D0C2"/>
      </x:left>
      <x:right style="thin">
        <x:color rgb="FFD8D0C2"/>
      </x:right>
      <x:top style="hair">
        <x:color rgb="FFE8E3D9"/>
      </x:top>
      <x:bottom style="hair">
        <x:color rgb="FFE8E3D9"/>
      </x:bottom>
    </x:border>
    <x:border>
      <x:left style="hair">
        <x:color rgb="FFE8E3D9"/>
      </x:left>
      <x:right style="hair">
        <x:color rgb="FFE8E3D9"/>
      </x:right>
      <x:top style="hair">
        <x:color rgb="FFE8E3D9"/>
      </x:top>
      <x:bottom style="hair">
        <x:color rgb="FFE8E3D9"/>
      </x:bottom>
    </x:border>
  </x:borders>
  <x:cellStyleXfs count="1">
    <x:xf numFmtId="0" fontId="0" fillId="0" borderId="0"/>
  </x:cellStyleXfs>
  <x:cellXfs count="199">
    <x:xf numFmtId="0" fontId="0" fillId="0" borderId="0" xfId="0"/>
    <x:xf numFmtId="0" fontId="5" fillId="2" borderId="1" xfId="0" applyFont="1" applyFill="1" applyBorder="1"/>
    <x:xf numFmtId="0" fontId="7" fillId="0" borderId="0" xfId="0" applyFont="1"/>
    <x:xf numFmtId="0" fontId="3" fillId="0" borderId="0" xfId="0" applyFont="1" applyAlignment="1">
      <x:alignment vertical="top" wrapText="1"/>
    </x:xf>
    <x:xf numFmtId="0" fontId="6" fillId="0" borderId="0" xfId="0" applyFont="1" applyAlignment="1">
      <x:alignment vertical="top" wrapText="1"/>
    </x:xf>
    <x:xf numFmtId="0" fontId="5" fillId="0" borderId="0" xfId="0" applyFont="1" applyAlignment="1">
      <x:alignment vertical="top" wrapText="1"/>
    </x:xf>
    <x:xf numFmtId="0" fontId="1" fillId="0" borderId="0" xfId="0" applyFont="1"/>
    <x:xf numFmtId="0" fontId="2" fillId="0" borderId="0" xfId="0" applyFont="1"/>
    <x:xf numFmtId="0" fontId="3" fillId="0" borderId="0" xfId="0" applyFont="1"/>
    <x:xf numFmtId="0" fontId="4" fillId="0" borderId="0" xfId="0" applyFont="1"/>
    <x:xf numFmtId="0" fontId="5" fillId="2" borderId="1" xfId="0" applyFont="1" applyFill="1" applyBorder="1"/>
    <x:xf numFmtId="0" fontId="5" fillId="0" borderId="0" xfId="0" applyFont="1" applyAlignment="1">
      <x:alignment vertical="top" wrapText="1"/>
    </x:xf>
    <x:xf numFmtId="0" fontId="5" fillId="0" borderId="0" xfId="0" applyFont="1"/>
    <x:xf numFmtId="0" fontId="6" fillId="0" borderId="0" xfId="0" applyFont="1" applyAlignment="1">
      <x:alignment vertical="top" wrapText="1"/>
    </x:xf>
    <x:xf numFmtId="0" fontId="7" fillId="0" borderId="0" xfId="0" applyFont="1"/>
    <x:xf numFmtId="0" fontId="1" fillId="0" borderId="2" xfId="0" applyFont="1" applyBorder="1"/>
    <x:xf numFmtId="0" fontId="0" fillId="0" borderId="2" xfId="0" applyBorder="1"/>
    <x:xf numFmtId="0" fontId="5" fillId="0" borderId="0" xfId="0" applyFont="1" applyAlignment="1">
      <x:alignment horizontal="left" vertical="top"/>
    </x:xf>
    <x:xf numFmtId="0" fontId="5" fillId="2" borderId="1" xfId="0" applyFont="1" applyFill="1" applyBorder="1" applyAlignment="1">
      <x:alignment horizontal="right"/>
    </x:xf>
    <x:xf numFmtId="164" fontId="8" fillId="3" borderId="3" xfId="0" applyNumberFormat="1" applyFont="1" applyFill="1" applyBorder="1" applyAlignment="1">
      <x:alignment horizontal="right"/>
    </x:xf>
    <x:xf numFmtId="0" fontId="4" fillId="0" borderId="0" xfId="0" applyFont="1" applyAlignment="1">
      <x:alignment horizontal="left" vertical="top"/>
    </x:xf>
    <x:xf numFmtId="164" fontId="9" fillId="3" borderId="3" xfId="0" applyNumberFormat="1" applyFont="1" applyFill="1" applyBorder="1" applyAlignment="1">
      <x:alignment horizontal="right"/>
    </x:xf>
    <x:xf numFmtId="165" fontId="8" fillId="3" borderId="3" xfId="0" applyNumberFormat="1" applyFont="1" applyFill="1" applyBorder="1" applyAlignment="1">
      <x:alignment horizontal="right"/>
    </x:xf>
    <x:xf numFmtId="166" fontId="9" fillId="3" borderId="3" xfId="0" applyNumberFormat="1" applyFont="1" applyFill="1" applyBorder="1" applyAlignment="1">
      <x:alignment horizontal="right"/>
    </x:xf>
    <x:xf numFmtId="0" fontId="8" fillId="3" borderId="3" xfId="0" applyFont="1" applyFill="1" applyBorder="1" applyAlignment="1">
      <x:alignment horizontal="center" wrapText="1"/>
    </x:xf>
    <x:xf numFmtId="0" fontId="10" fillId="4" borderId="0" xfId="0" applyFont="1" applyFill="1" applyAlignment="1">
      <x:alignment vertical="center" wrapText="1"/>
    </x:xf>
    <x:xf numFmtId="0" fontId="4" fillId="0" borderId="4" xfId="0" applyFont="1" applyBorder="1" applyAlignment="1">
      <x:alignment vertical="top" wrapText="1"/>
    </x:xf>
    <x:xf numFmtId="0" fontId="5" fillId="2" borderId="1" xfId="0" applyFont="1" applyFill="1" applyBorder="1" applyAlignment="1">
      <x:alignment vertical="top" wrapText="1"/>
    </x:xf>
    <x:xf numFmtId="0" fontId="6" fillId="0" borderId="4" xfId="0" applyFont="1" applyBorder="1" applyAlignment="1">
      <x:alignment vertical="top" wrapText="1"/>
    </x:xf>
    <x:xf numFmtId="49" fontId="5" fillId="2" borderId="1" xfId="0" applyNumberFormat="1" applyFont="1" applyFill="1" applyBorder="1" applyAlignment="1">
      <x:alignment vertical="top" wrapText="1"/>
    </x:xf>
    <x:xf numFmtId="164" fontId="5" fillId="2" borderId="1" xfId="0" applyNumberFormat="1" applyFont="1" applyFill="1" applyBorder="1" applyAlignment="1">
      <x:alignment vertical="top" wrapText="1"/>
    </x:xf>
    <x:xf numFmtId="0" fontId="5" fillId="0" borderId="4" xfId="0" applyFont="1" applyBorder="1" applyAlignment="1">
      <x:alignment vertical="top" wrapText="1"/>
    </x:xf>
    <x:xf numFmtId="167" fontId="5" fillId="2" borderId="1" xfId="0" applyNumberFormat="1" applyFont="1" applyFill="1" applyBorder="1" applyAlignment="1">
      <x:alignment vertical="top" wrapText="1"/>
    </x:xf>
    <x:xf numFmtId="168" fontId="5" fillId="2" borderId="1" xfId="0" applyNumberFormat="1" applyFont="1" applyFill="1" applyBorder="1" applyAlignment="1">
      <x:alignment vertical="top" wrapText="1"/>
    </x:xf>
    <x:xf numFmtId="2" fontId="5" fillId="2" borderId="1" xfId="0" applyNumberFormat="1" applyFont="1" applyFill="1" applyBorder="1" applyAlignment="1">
      <x:alignment vertical="top" wrapText="1"/>
    </x:xf>
    <x:xf numFmtId="169" fontId="5" fillId="2" borderId="1" xfId="0" applyNumberFormat="1" applyFont="1" applyFill="1" applyBorder="1" applyAlignment="1">
      <x:alignment vertical="top" wrapText="1"/>
    </x:xf>
    <x:xf numFmtId="49" fontId="5" fillId="2" borderId="4" xfId="0" applyNumberFormat="1" applyFont="1" applyFill="1" applyBorder="1" applyAlignment="1">
      <x:alignment vertical="top" wrapText="1"/>
    </x:xf>
    <x:xf numFmtId="0" fontId="5" fillId="2" borderId="4" xfId="0" applyFont="1" applyFill="1" applyBorder="1" applyAlignment="1">
      <x:alignment vertical="top" wrapText="1"/>
    </x:xf>
    <x:xf numFmtId="2" fontId="5" fillId="2" borderId="4" xfId="0" applyNumberFormat="1" applyFont="1" applyFill="1" applyBorder="1" applyAlignment="1">
      <x:alignment vertical="top" wrapText="1"/>
    </x:xf>
    <x:xf numFmtId="169" fontId="5" fillId="2" borderId="4" xfId="0" applyNumberFormat="1" applyFont="1" applyFill="1" applyBorder="1" applyAlignment="1">
      <x:alignment vertical="top" wrapText="1"/>
    </x:xf>
    <x:xf numFmtId="49" fontId="5" fillId="5" borderId="4" xfId="0" applyNumberFormat="1" applyFont="1" applyFill="1" applyBorder="1" applyAlignment="1">
      <x:alignment vertical="top" wrapText="1"/>
    </x:xf>
    <x:xf numFmtId="0" fontId="5" fillId="5" borderId="4" xfId="0" applyFont="1" applyFill="1" applyBorder="1" applyAlignment="1">
      <x:alignment vertical="top" wrapText="1"/>
    </x:xf>
    <x:xf numFmtId="2" fontId="5" fillId="5" borderId="4" xfId="0" applyNumberFormat="1" applyFont="1" applyFill="1" applyBorder="1" applyAlignment="1">
      <x:alignment vertical="top" wrapText="1"/>
    </x:xf>
    <x:xf numFmtId="169" fontId="5" fillId="5" borderId="4" xfId="0" applyNumberFormat="1" applyFont="1" applyFill="1" applyBorder="1" applyAlignment="1">
      <x:alignment vertical="top" wrapText="1"/>
    </x:xf>
    <x:xf numFmtId="0" fontId="6" fillId="0" borderId="0" xfId="0" applyFont="1" applyAlignment="1">
      <x:alignment horizontal="left" vertical="top"/>
    </x:xf>
    <x:xf numFmtId="0" fontId="6" fillId="0" borderId="0" xfId="0" applyFont="1"/>
    <x:xf numFmtId="167" fontId="5" fillId="2" borderId="4" xfId="0" applyNumberFormat="1" applyFont="1" applyFill="1" applyBorder="1" applyAlignment="1">
      <x:alignment vertical="top" wrapText="1"/>
    </x:xf>
    <x:xf numFmtId="164" fontId="5" fillId="2" borderId="4" xfId="0" applyNumberFormat="1" applyFont="1" applyFill="1" applyBorder="1" applyAlignment="1">
      <x:alignment vertical="top" wrapText="1"/>
    </x:xf>
    <x:xf numFmtId="167" fontId="5" fillId="5" borderId="4" xfId="0" applyNumberFormat="1" applyFont="1" applyFill="1" applyBorder="1" applyAlignment="1">
      <x:alignment vertical="top" wrapText="1"/>
    </x:xf>
    <x:xf numFmtId="164" fontId="5" fillId="5" borderId="4" xfId="0" applyNumberFormat="1" applyFont="1" applyFill="1" applyBorder="1" applyAlignment="1">
      <x:alignment vertical="top" wrapText="1"/>
    </x:xf>
    <x:xf numFmtId="0" fontId="10" fillId="6" borderId="0" xfId="0" applyFont="1" applyFill="1" applyAlignment="1">
      <x:alignment vertical="center" wrapText="1"/>
    </x:xf>
    <x:xf numFmtId="164" fontId="8" fillId="3" borderId="3" xfId="0" applyNumberFormat="1" applyFont="1" applyFill="1" applyBorder="1"/>
    <x:xf numFmtId="168" fontId="5" fillId="2" borderId="4" xfId="0" applyNumberFormat="1" applyFont="1" applyFill="1" applyBorder="1" applyAlignment="1">
      <x:alignment vertical="top" wrapText="1"/>
    </x:xf>
    <x:xf numFmtId="168" fontId="5" fillId="5" borderId="4" xfId="0" applyNumberFormat="1" applyFont="1" applyFill="1" applyBorder="1" applyAlignment="1">
      <x:alignment vertical="top" wrapText="1"/>
    </x:xf>
    <x:xf numFmtId="0" fontId="5" fillId="2" borderId="1" xfId="0" applyFont="1" applyFill="1" applyBorder="1" applyAlignment="1">
      <x:alignment horizontal="center"/>
    </x:xf>
    <x:xf numFmtId="167" fontId="5" fillId="2" borderId="1" xfId="0" applyNumberFormat="1" applyFont="1" applyFill="1" applyBorder="1"/>
    <x:xf numFmtId="0" fontId="0" fillId="0" borderId="5" xfId="0" applyNumberFormat="1" applyFont="1" applyFill="1" applyBorder="1"/>
    <x:xf numFmtId="0" fontId="5" fillId="2" borderId="6" xfId="0" applyNumberFormat="1" applyFont="1" applyFill="1" applyBorder="1"/>
    <x:xf numFmtId="0" fontId="7" fillId="0" borderId="5" xfId="0" applyNumberFormat="1" applyFont="1" applyFill="1" applyBorder="1"/>
    <x:xf numFmtId="0" fontId="3" fillId="0" borderId="5"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1" fillId="0" borderId="5" xfId="0" applyNumberFormat="1" applyFont="1" applyFill="1" applyBorder="1"/>
    <x:xf numFmtId="0" fontId="2" fillId="0" borderId="5" xfId="0" applyNumberFormat="1" applyFont="1" applyFill="1" applyBorder="1"/>
    <x:xf numFmtId="0" fontId="3" fillId="0" borderId="5" xfId="0" applyNumberFormat="1" applyFont="1" applyFill="1" applyBorder="1"/>
    <x:xf numFmtId="0" fontId="4" fillId="0" borderId="5" xfId="0" applyNumberFormat="1" applyFont="1" applyFill="1" applyBorder="1"/>
    <x:xf numFmtId="0" fontId="5" fillId="0" borderId="5" xfId="0" applyNumberFormat="1" applyFont="1" applyFill="1" applyBorder="1"/>
    <x:xf numFmtId="0" fontId="1" fillId="0" borderId="7" xfId="0" applyNumberFormat="1" applyFont="1" applyFill="1" applyBorder="1"/>
    <x:xf numFmtId="0" fontId="0" fillId="0" borderId="7" xfId="0" applyNumberFormat="1" applyFont="1" applyFill="1" applyBorder="1"/>
    <x:xf numFmtId="0" fontId="5" fillId="0" borderId="5" xfId="0" applyNumberFormat="1" applyFont="1" applyFill="1" applyBorder="1" applyAlignment="1">
      <x:alignment horizontal="left" vertical="top"/>
    </x:xf>
    <x:xf numFmtId="0" fontId="5" fillId="2" borderId="6" xfId="0" applyNumberFormat="1" applyFont="1" applyFill="1" applyBorder="1" applyAlignment="1">
      <x:alignment horizontal="right"/>
    </x:xf>
    <x:xf numFmtId="164" fontId="8" fillId="3" borderId="8" xfId="0" applyNumberFormat="1" applyFont="1" applyFill="1" applyBorder="1" applyAlignment="1">
      <x:alignment horizontal="right"/>
    </x:xf>
    <x:xf numFmtId="0" fontId="4" fillId="0" borderId="5" xfId="0" applyNumberFormat="1" applyFont="1" applyFill="1" applyBorder="1" applyAlignment="1">
      <x:alignment horizontal="left" vertical="top"/>
    </x:xf>
    <x:xf numFmtId="164" fontId="9" fillId="3" borderId="8" xfId="0" applyNumberFormat="1" applyFont="1" applyFill="1" applyBorder="1" applyAlignment="1">
      <x:alignment horizontal="right"/>
    </x:xf>
    <x:xf numFmtId="165" fontId="8" fillId="3" borderId="8" xfId="0" applyNumberFormat="1" applyFont="1" applyFill="1" applyBorder="1" applyAlignment="1">
      <x:alignment horizontal="right"/>
    </x:xf>
    <x:xf numFmtId="166" fontId="9" fillId="3" borderId="8" xfId="0" applyNumberFormat="1" applyFont="1" applyFill="1" applyBorder="1" applyAlignment="1">
      <x:alignment horizontal="right"/>
    </x:xf>
    <x:xf numFmtId="0" fontId="8" fillId="3" borderId="8" xfId="0" applyNumberFormat="1" applyFont="1" applyFill="1" applyBorder="1" applyAlignment="1">
      <x:alignment horizontal="center" wrapText="1"/>
    </x:xf>
    <x:xf numFmtId="0" fontId="10" fillId="4" borderId="5" xfId="0" applyNumberFormat="1" applyFont="1" applyFill="1" applyBorder="1" applyAlignment="1">
      <x:alignment vertical="center" wrapText="1"/>
    </x:xf>
    <x:xf numFmtId="0" fontId="4" fillId="0" borderId="9" xfId="0" applyNumberFormat="1" applyFont="1" applyFill="1" applyBorder="1" applyAlignment="1">
      <x:alignment vertical="top" wrapText="1"/>
    </x:xf>
    <x:xf numFmtId="0" fontId="5" fillId="2" borderId="6" xfId="0" applyNumberFormat="1" applyFont="1" applyFill="1" applyBorder="1" applyAlignment="1">
      <x:alignment vertical="top" wrapText="1"/>
    </x:xf>
    <x:xf numFmtId="0" fontId="6" fillId="0" borderId="9" xfId="0" applyNumberFormat="1" applyFont="1" applyFill="1" applyBorder="1" applyAlignment="1">
      <x:alignment vertical="top" wrapText="1"/>
    </x:xf>
    <x:xf numFmtId="49" fontId="5" fillId="2" borderId="6" xfId="0" applyNumberFormat="1" applyFont="1" applyFill="1" applyBorder="1" applyAlignment="1">
      <x:alignment vertical="top" wrapText="1"/>
    </x:xf>
    <x:xf numFmtId="164" fontId="5" fillId="2" borderId="6" xfId="0" applyNumberFormat="1" applyFont="1" applyFill="1" applyBorder="1" applyAlignment="1">
      <x:alignment vertical="top" wrapText="1"/>
    </x:xf>
    <x:xf numFmtId="0" fontId="5" fillId="0" borderId="9" xfId="0" applyNumberFormat="1" applyFont="1" applyFill="1" applyBorder="1" applyAlignment="1">
      <x:alignment vertical="top" wrapText="1"/>
    </x:xf>
    <x:xf numFmtId="167" fontId="5" fillId="2" borderId="6" xfId="0" applyNumberFormat="1" applyFont="1" applyFill="1" applyBorder="1" applyAlignment="1">
      <x:alignment vertical="top" wrapText="1"/>
    </x:xf>
    <x:xf numFmtId="168" fontId="5" fillId="2" borderId="6" xfId="0" applyNumberFormat="1" applyFont="1" applyFill="1" applyBorder="1" applyAlignment="1">
      <x:alignment vertical="top" wrapText="1"/>
    </x:xf>
    <x:xf numFmtId="2" fontId="5" fillId="2" borderId="6" xfId="0" applyNumberFormat="1" applyFont="1" applyFill="1" applyBorder="1" applyAlignment="1">
      <x:alignment vertical="top" wrapText="1"/>
    </x:xf>
    <x:xf numFmtId="169" fontId="5" fillId="2" borderId="6" xfId="0" applyNumberFormat="1" applyFont="1" applyFill="1" applyBorder="1" applyAlignment="1">
      <x:alignment vertical="top" wrapText="1"/>
    </x:xf>
    <x:xf numFmtId="49" fontId="5" fillId="2" borderId="9" xfId="0" applyNumberFormat="1" applyFont="1" applyFill="1" applyBorder="1" applyAlignment="1">
      <x:alignment vertical="top" wrapText="1"/>
    </x:xf>
    <x:xf numFmtId="0" fontId="5" fillId="2" borderId="9" xfId="0" applyNumberFormat="1" applyFont="1" applyFill="1" applyBorder="1" applyAlignment="1">
      <x:alignment vertical="top" wrapText="1"/>
    </x:xf>
    <x:xf numFmtId="2" fontId="5" fillId="2" borderId="9" xfId="0" applyNumberFormat="1" applyFont="1" applyFill="1" applyBorder="1" applyAlignment="1">
      <x:alignment vertical="top" wrapText="1"/>
    </x:xf>
    <x:xf numFmtId="169" fontId="5" fillId="2" borderId="9" xfId="0" applyNumberFormat="1" applyFont="1" applyFill="1" applyBorder="1" applyAlignment="1">
      <x:alignment vertical="top" wrapText="1"/>
    </x:xf>
    <x:xf numFmtId="49" fontId="5" fillId="5" borderId="9" xfId="0" applyNumberFormat="1" applyFont="1" applyFill="1" applyBorder="1" applyAlignment="1">
      <x:alignment vertical="top" wrapText="1"/>
    </x:xf>
    <x:xf numFmtId="0" fontId="5" fillId="5" borderId="9" xfId="0" applyNumberFormat="1" applyFont="1" applyFill="1" applyBorder="1" applyAlignment="1">
      <x:alignment vertical="top" wrapText="1"/>
    </x:xf>
    <x:xf numFmtId="2" fontId="5" fillId="5" borderId="9" xfId="0" applyNumberFormat="1" applyFont="1" applyFill="1" applyBorder="1" applyAlignment="1">
      <x:alignment vertical="top" wrapText="1"/>
    </x:xf>
    <x:xf numFmtId="169" fontId="5" fillId="5" borderId="9" xfId="0" applyNumberFormat="1" applyFont="1" applyFill="1" applyBorder="1" applyAlignment="1">
      <x:alignment vertical="top" wrapText="1"/>
    </x:xf>
    <x:xf numFmtId="0" fontId="6" fillId="0" borderId="5" xfId="0" applyNumberFormat="1" applyFont="1" applyFill="1" applyBorder="1" applyAlignment="1">
      <x:alignment horizontal="left" vertical="top"/>
    </x:xf>
    <x:xf numFmtId="0" fontId="6" fillId="0" borderId="5" xfId="0" applyNumberFormat="1" applyFont="1" applyFill="1" applyBorder="1"/>
    <x:xf numFmtId="167" fontId="5" fillId="2" borderId="9" xfId="0" applyNumberFormat="1" applyFont="1" applyFill="1" applyBorder="1" applyAlignment="1">
      <x:alignment vertical="top" wrapText="1"/>
    </x:xf>
    <x:xf numFmtId="164" fontId="5" fillId="2" borderId="9" xfId="0" applyNumberFormat="1" applyFont="1" applyFill="1" applyBorder="1" applyAlignment="1">
      <x:alignment vertical="top" wrapText="1"/>
    </x:xf>
    <x:xf numFmtId="167" fontId="5" fillId="5" borderId="9" xfId="0" applyNumberFormat="1" applyFont="1" applyFill="1" applyBorder="1" applyAlignment="1">
      <x:alignment vertical="top" wrapText="1"/>
    </x:xf>
    <x:xf numFmtId="164" fontId="5" fillId="5" borderId="9" xfId="0" applyNumberFormat="1" applyFont="1" applyFill="1" applyBorder="1" applyAlignment="1">
      <x:alignment vertical="top" wrapText="1"/>
    </x:xf>
    <x:xf numFmtId="0" fontId="10" fillId="6" borderId="5" xfId="0" applyNumberFormat="1" applyFont="1" applyFill="1" applyBorder="1" applyAlignment="1">
      <x:alignment vertical="center" wrapText="1"/>
    </x:xf>
    <x:xf numFmtId="164" fontId="8" fillId="3" borderId="8" xfId="0" applyNumberFormat="1" applyFont="1" applyFill="1" applyBorder="1"/>
    <x:xf numFmtId="168" fontId="5" fillId="2" borderId="9" xfId="0" applyNumberFormat="1" applyFont="1" applyFill="1" applyBorder="1" applyAlignment="1">
      <x:alignment vertical="top" wrapText="1"/>
    </x:xf>
    <x:xf numFmtId="168" fontId="5" fillId="5" borderId="9" xfId="0" applyNumberFormat="1" applyFont="1" applyFill="1" applyBorder="1" applyAlignment="1">
      <x:alignment vertical="top" wrapText="1"/>
    </x:xf>
    <x:xf numFmtId="0" fontId="5" fillId="2" borderId="6" xfId="0" applyNumberFormat="1" applyFont="1" applyFill="1" applyBorder="1" applyAlignment="1">
      <x:alignment horizontal="center"/>
    </x:xf>
    <x:xf numFmtId="167" fontId="5" fillId="2" borderId="6" xfId="0" applyNumberFormat="1" applyFont="1" applyFill="1" applyBorder="1"/>
    <x:xf numFmtId="0" fontId="11" fillId="0" borderId="0" xfId="0" applyNumberFormat="1" applyFont="1" applyFill="1" applyBorder="1"/>
    <x:xf numFmtId="0" fontId="11" fillId="0" borderId="5" xfId="0" applyNumberFormat="1" applyFont="1" applyFill="1" applyBorder="1"/>
    <x:xf numFmtId="0" fontId="12" fillId="2" borderId="1" xfId="0" applyNumberFormat="1" applyFont="1" applyFill="1" applyBorder="1"/>
    <x:xf numFmtId="167" fontId="12" fillId="2" borderId="1" xfId="0" applyNumberFormat="1" applyFont="1" applyFill="1" applyBorder="1"/>
    <x:xf numFmtId="0" fontId="12" fillId="2" borderId="6" xfId="0" applyNumberFormat="1" applyFont="1" applyFill="1" applyBorder="1"/>
    <x:xf numFmtId="167" fontId="12" fillId="2" borderId="6" xfId="0" applyNumberFormat="1" applyFont="1" applyFill="1" applyBorder="1"/>
    <x:xf numFmtId="0" fontId="13" fillId="0" borderId="0" xfId="0" applyNumberFormat="1" applyFont="1" applyFill="1" applyBorder="1"/>
    <x:xf numFmtId="0" fontId="12" fillId="0" borderId="0" xfId="0" applyNumberFormat="1" applyFont="1" applyFill="1" applyBorder="1"/>
    <x:xf numFmtId="0" fontId="13" fillId="0" borderId="5" xfId="0" applyNumberFormat="1" applyFont="1" applyFill="1" applyBorder="1"/>
    <x:xf numFmtId="0" fontId="12" fillId="0" borderId="5" xfId="0" applyNumberFormat="1" applyFont="1" applyFill="1" applyBorder="1"/>
    <x:xf numFmtId="0" fontId="12" fillId="2" borderId="1" xfId="0" applyNumberFormat="1" applyFont="1" applyFill="1" applyBorder="1" applyAlignment="1">
      <x:alignment wrapText="1"/>
    </x:xf>
    <x:xf numFmtId="167" fontId="12" fillId="2" borderId="1" xfId="0" applyNumberFormat="1" applyFont="1" applyFill="1" applyBorder="1" applyAlignment="1">
      <x:alignment wrapText="1"/>
    </x:xf>
    <x:xf numFmtId="0" fontId="12" fillId="2" borderId="6" xfId="0" applyNumberFormat="1" applyFont="1" applyFill="1" applyBorder="1" applyAlignment="1">
      <x:alignment wrapText="1"/>
    </x:xf>
    <x:xf numFmtId="167" fontId="12" fillId="2" borderId="6" xfId="0" applyNumberFormat="1" applyFont="1" applyFill="1" applyBorder="1" applyAlignment="1">
      <x:alignment wrapText="1"/>
    </x:xf>
    <x:xf numFmtId="0" fontId="13" fillId="0" borderId="0" xfId="0" applyNumberFormat="1" applyFont="1" applyFill="1" applyBorder="1" applyAlignment="1">
      <x:alignment wrapText="1"/>
    </x:xf>
    <x:xf numFmtId="0" fontId="12" fillId="0" borderId="0" xfId="0" applyNumberFormat="1" applyFont="1" applyFill="1" applyBorder="1" applyAlignment="1">
      <x:alignment wrapText="1"/>
    </x:xf>
    <x:xf numFmtId="0" fontId="13" fillId="0" borderId="5" xfId="0" applyNumberFormat="1" applyFont="1" applyFill="1" applyBorder="1" applyAlignment="1">
      <x:alignment wrapText="1"/>
    </x:xf>
    <x:xf numFmtId="0" fontId="12" fillId="0" borderId="5" xfId="0" applyNumberFormat="1" applyFont="1" applyFill="1" applyBorder="1" applyAlignment="1">
      <x:alignment wrapText="1"/>
    </x:xf>
    <x:xf numFmtId="0" fontId="14" fillId="2" borderId="1" xfId="0" applyNumberFormat="1" applyFont="1" applyFill="1" applyBorder="1" applyAlignment="1">
      <x:alignment horizontal="right"/>
    </x:xf>
    <x:xf numFmtId="0" fontId="14" fillId="2" borderId="6" xfId="0" applyNumberFormat="1" applyFont="1" applyFill="1" applyBorder="1" applyAlignment="1">
      <x:alignment horizontal="right"/>
    </x:xf>
    <x:xf numFmtId="200" fontId="5" fillId="2" borderId="1" xfId="0" applyNumberFormat="1" applyFont="1" applyFill="1" applyBorder="1" applyAlignment="1">
      <x:alignment vertical="top" wrapText="1"/>
    </x:xf>
    <x:xf numFmtId="200" fontId="5" fillId="2" borderId="6" xfId="0" applyNumberFormat="1" applyFont="1" applyFill="1" applyBorder="1" applyAlignment="1">
      <x:alignment vertical="top" wrapText="1"/>
    </x:xf>
    <x:xf numFmtId="201" fontId="5" fillId="2" borderId="1" xfId="0" applyNumberFormat="1" applyFont="1" applyFill="1" applyBorder="1" applyAlignment="1">
      <x:alignment vertical="top" wrapText="1"/>
    </x:xf>
    <x:xf numFmtId="201" fontId="5" fillId="2" borderId="6" xfId="0" applyNumberFormat="1" applyFont="1" applyFill="1" applyBorder="1" applyAlignment="1">
      <x:alignment vertical="top" wrapText="1"/>
    </x:xf>
    <x:xf numFmtId="202" fontId="5" fillId="2" borderId="1" xfId="0" applyNumberFormat="1" applyFont="1" applyFill="1" applyBorder="1" applyAlignment="1">
      <x:alignment vertical="top" wrapText="1"/>
    </x:xf>
    <x:xf numFmtId="202" fontId="5" fillId="2" borderId="6" xfId="0" applyNumberFormat="1" applyFont="1" applyFill="1" applyBorder="1" applyAlignment="1">
      <x:alignment vertical="top" wrapText="1"/>
    </x:xf>
    <x:xf numFmtId="0" fontId="12" fillId="2" borderId="1" xfId="0" applyNumberFormat="1" applyFont="1" applyFill="1" applyBorder="1" applyAlignment="1">
      <x:alignment vertical="top" wrapText="1"/>
    </x:xf>
    <x:xf numFmtId="49" fontId="12" fillId="2" borderId="1" xfId="0" applyNumberFormat="1" applyFont="1" applyFill="1" applyBorder="1" applyAlignment="1">
      <x:alignment vertical="top" wrapText="1"/>
    </x:xf>
    <x:xf numFmtId="200" fontId="12" fillId="2" borderId="1" xfId="0" applyNumberFormat="1" applyFont="1" applyFill="1" applyBorder="1" applyAlignment="1">
      <x:alignment vertical="top" wrapText="1"/>
    </x:xf>
    <x:xf numFmtId="167" fontId="12" fillId="2" borderId="1" xfId="0" applyNumberFormat="1" applyFont="1" applyFill="1" applyBorder="1" applyAlignment="1">
      <x:alignment vertical="top" wrapText="1"/>
    </x:xf>
    <x:xf numFmtId="168" fontId="12" fillId="2" borderId="1" xfId="0" applyNumberFormat="1" applyFont="1" applyFill="1" applyBorder="1" applyAlignment="1">
      <x:alignment vertical="top" wrapText="1"/>
    </x:xf>
    <x:xf numFmtId="202" fontId="12" fillId="2" borderId="1" xfId="0" applyNumberFormat="1" applyFont="1" applyFill="1" applyBorder="1" applyAlignment="1">
      <x:alignment vertical="top" wrapText="1"/>
    </x:xf>
    <x:xf numFmtId="169" fontId="12" fillId="2" borderId="1" xfId="0" applyNumberFormat="1" applyFont="1" applyFill="1" applyBorder="1" applyAlignment="1">
      <x:alignment vertical="top" wrapText="1"/>
    </x:xf>
    <x:xf numFmtId="0" fontId="12" fillId="2" borderId="6" xfId="0" applyNumberFormat="1" applyFont="1" applyFill="1" applyBorder="1" applyAlignment="1">
      <x:alignment vertical="top" wrapText="1"/>
    </x:xf>
    <x:xf numFmtId="49" fontId="12" fillId="2" borderId="6" xfId="0" applyNumberFormat="1" applyFont="1" applyFill="1" applyBorder="1" applyAlignment="1">
      <x:alignment vertical="top" wrapText="1"/>
    </x:xf>
    <x:xf numFmtId="200" fontId="12" fillId="2" borderId="6" xfId="0" applyNumberFormat="1" applyFont="1" applyFill="1" applyBorder="1" applyAlignment="1">
      <x:alignment vertical="top" wrapText="1"/>
    </x:xf>
    <x:xf numFmtId="167" fontId="12" fillId="2" borderId="6" xfId="0" applyNumberFormat="1" applyFont="1" applyFill="1" applyBorder="1" applyAlignment="1">
      <x:alignment vertical="top" wrapText="1"/>
    </x:xf>
    <x:xf numFmtId="168" fontId="12" fillId="2" borderId="6" xfId="0" applyNumberFormat="1" applyFont="1" applyFill="1" applyBorder="1" applyAlignment="1">
      <x:alignment vertical="top" wrapText="1"/>
    </x:xf>
    <x:xf numFmtId="202" fontId="12" fillId="2" borderId="6" xfId="0" applyNumberFormat="1" applyFont="1" applyFill="1" applyBorder="1" applyAlignment="1">
      <x:alignment vertical="top" wrapText="1"/>
    </x:xf>
    <x:xf numFmtId="169" fontId="12" fillId="2" borderId="6" xfId="0" applyNumberFormat="1" applyFont="1" applyFill="1" applyBorder="1" applyAlignment="1">
      <x:alignment vertical="top" wrapText="1"/>
    </x:xf>
    <x:xf numFmtId="49" fontId="12" fillId="2" borderId="4" xfId="0" applyNumberFormat="1" applyFont="1" applyFill="1" applyBorder="1" applyAlignment="1">
      <x:alignment vertical="top" wrapText="1"/>
    </x:xf>
    <x:xf numFmtId="0" fontId="12" fillId="2" borderId="4" xfId="0" applyNumberFormat="1" applyFont="1" applyFill="1" applyBorder="1" applyAlignment="1">
      <x:alignment vertical="top" wrapText="1"/>
    </x:xf>
    <x:xf numFmtId="2" fontId="12" fillId="2" borderId="4" xfId="0" applyNumberFormat="1" applyFont="1" applyFill="1" applyBorder="1" applyAlignment="1">
      <x:alignment vertical="top" wrapText="1"/>
    </x:xf>
    <x:xf numFmtId="169" fontId="12" fillId="2" borderId="4" xfId="0" applyNumberFormat="1" applyFont="1" applyFill="1" applyBorder="1" applyAlignment="1">
      <x:alignment vertical="top" wrapText="1"/>
    </x:xf>
    <x:xf numFmtId="49" fontId="12" fillId="5" borderId="4" xfId="0" applyNumberFormat="1" applyFont="1" applyFill="1" applyBorder="1" applyAlignment="1">
      <x:alignment vertical="top" wrapText="1"/>
    </x:xf>
    <x:xf numFmtId="0" fontId="12" fillId="5" borderId="4" xfId="0" applyNumberFormat="1" applyFont="1" applyFill="1" applyBorder="1" applyAlignment="1">
      <x:alignment vertical="top" wrapText="1"/>
    </x:xf>
    <x:xf numFmtId="2" fontId="12" fillId="5" borderId="4" xfId="0" applyNumberFormat="1" applyFont="1" applyFill="1" applyBorder="1" applyAlignment="1">
      <x:alignment vertical="top" wrapText="1"/>
    </x:xf>
    <x:xf numFmtId="169" fontId="12" fillId="5" borderId="4" xfId="0" applyNumberFormat="1" applyFont="1" applyFill="1" applyBorder="1" applyAlignment="1">
      <x:alignment vertical="top" wrapText="1"/>
    </x:xf>
    <x:xf numFmtId="49" fontId="12" fillId="2" borderId="9" xfId="0" applyNumberFormat="1" applyFont="1" applyFill="1" applyBorder="1" applyAlignment="1">
      <x:alignment vertical="top" wrapText="1"/>
    </x:xf>
    <x:xf numFmtId="0" fontId="12" fillId="2" borderId="9" xfId="0" applyNumberFormat="1" applyFont="1" applyFill="1" applyBorder="1" applyAlignment="1">
      <x:alignment vertical="top" wrapText="1"/>
    </x:xf>
    <x:xf numFmtId="2" fontId="12" fillId="2" borderId="9" xfId="0" applyNumberFormat="1" applyFont="1" applyFill="1" applyBorder="1" applyAlignment="1">
      <x:alignment vertical="top" wrapText="1"/>
    </x:xf>
    <x:xf numFmtId="169" fontId="12" fillId="2" borderId="9" xfId="0" applyNumberFormat="1" applyFont="1" applyFill="1" applyBorder="1" applyAlignment="1">
      <x:alignment vertical="top" wrapText="1"/>
    </x:xf>
    <x:xf numFmtId="49" fontId="12" fillId="5" borderId="9" xfId="0" applyNumberFormat="1" applyFont="1" applyFill="1" applyBorder="1" applyAlignment="1">
      <x:alignment vertical="top" wrapText="1"/>
    </x:xf>
    <x:xf numFmtId="0" fontId="12" fillId="5" borderId="9" xfId="0" applyNumberFormat="1" applyFont="1" applyFill="1" applyBorder="1" applyAlignment="1">
      <x:alignment vertical="top" wrapText="1"/>
    </x:xf>
    <x:xf numFmtId="2" fontId="12" fillId="5" borderId="9" xfId="0" applyNumberFormat="1" applyFont="1" applyFill="1" applyBorder="1" applyAlignment="1">
      <x:alignment vertical="top" wrapText="1"/>
    </x:xf>
    <x:xf numFmtId="169" fontId="12" fillId="5" borderId="9" xfId="0" applyNumberFormat="1" applyFont="1" applyFill="1" applyBorder="1" applyAlignment="1">
      <x:alignment vertical="top" wrapText="1"/>
    </x:xf>
    <x:xf numFmtId="203" fontId="12" fillId="2" borderId="4" xfId="0" applyNumberFormat="1" applyFont="1" applyFill="1" applyBorder="1" applyAlignment="1">
      <x:alignment vertical="top" wrapText="1"/>
    </x:xf>
    <x:xf numFmtId="203" fontId="12" fillId="5" borderId="4" xfId="0" applyNumberFormat="1" applyFont="1" applyFill="1" applyBorder="1" applyAlignment="1">
      <x:alignment vertical="top" wrapText="1"/>
    </x:xf>
    <x:xf numFmtId="203" fontId="12" fillId="2" borderId="9" xfId="0" applyNumberFormat="1" applyFont="1" applyFill="1" applyBorder="1" applyAlignment="1">
      <x:alignment vertical="top" wrapText="1"/>
    </x:xf>
    <x:xf numFmtId="203" fontId="12" fillId="5" borderId="9" xfId="0" applyNumberFormat="1" applyFont="1" applyFill="1" applyBorder="1" applyAlignment="1">
      <x:alignment vertical="top" wrapText="1"/>
    </x:xf>
    <x:xf numFmtId="200" fontId="5" fillId="2" borderId="4" xfId="0" applyNumberFormat="1" applyFont="1" applyFill="1" applyBorder="1" applyAlignment="1">
      <x:alignment vertical="top" wrapText="1"/>
    </x:xf>
    <x:xf numFmtId="200" fontId="5" fillId="5" borderId="4" xfId="0" applyNumberFormat="1" applyFont="1" applyFill="1" applyBorder="1" applyAlignment="1">
      <x:alignment vertical="top" wrapText="1"/>
    </x:xf>
    <x:xf numFmtId="200" fontId="5" fillId="2" borderId="9" xfId="0" applyNumberFormat="1" applyFont="1" applyFill="1" applyBorder="1" applyAlignment="1">
      <x:alignment vertical="top" wrapText="1"/>
    </x:xf>
    <x:xf numFmtId="200" fontId="5" fillId="5" borderId="9" xfId="0" applyNumberFormat="1" applyFont="1" applyFill="1" applyBorder="1" applyAlignment="1">
      <x:alignment vertical="top" wrapText="1"/>
    </x:xf>
    <x:xf numFmtId="167" fontId="12" fillId="2" borderId="4" xfId="0" applyNumberFormat="1" applyFont="1" applyFill="1" applyBorder="1" applyAlignment="1">
      <x:alignment vertical="top" wrapText="1"/>
    </x:xf>
    <x:xf numFmtId="200" fontId="12" fillId="2" borderId="4" xfId="0" applyNumberFormat="1" applyFont="1" applyFill="1" applyBorder="1" applyAlignment="1">
      <x:alignment vertical="top" wrapText="1"/>
    </x:xf>
    <x:xf numFmtId="167" fontId="12" fillId="5" borderId="4" xfId="0" applyNumberFormat="1" applyFont="1" applyFill="1" applyBorder="1" applyAlignment="1">
      <x:alignment vertical="top" wrapText="1"/>
    </x:xf>
    <x:xf numFmtId="200" fontId="12" fillId="5" borderId="4" xfId="0" applyNumberFormat="1" applyFont="1" applyFill="1" applyBorder="1" applyAlignment="1">
      <x:alignment vertical="top" wrapText="1"/>
    </x:xf>
    <x:xf numFmtId="167" fontId="12" fillId="2" borderId="9" xfId="0" applyNumberFormat="1" applyFont="1" applyFill="1" applyBorder="1" applyAlignment="1">
      <x:alignment vertical="top" wrapText="1"/>
    </x:xf>
    <x:xf numFmtId="200" fontId="12" fillId="2" borderId="9" xfId="0" applyNumberFormat="1" applyFont="1" applyFill="1" applyBorder="1" applyAlignment="1">
      <x:alignment vertical="top" wrapText="1"/>
    </x:xf>
    <x:xf numFmtId="167" fontId="12" fillId="5" borderId="9" xfId="0" applyNumberFormat="1" applyFont="1" applyFill="1" applyBorder="1" applyAlignment="1">
      <x:alignment vertical="top" wrapText="1"/>
    </x:xf>
    <x:xf numFmtId="200" fontId="12" fillId="5" borderId="9" xfId="0" applyNumberFormat="1" applyFont="1" applyFill="1" applyBorder="1" applyAlignment="1">
      <x:alignment vertical="top" wrapText="1"/>
    </x:xf>
    <x:xf numFmtId="200" fontId="8" fillId="3" borderId="3" xfId="0" applyNumberFormat="1" applyFont="1" applyFill="1" applyBorder="1"/>
    <x:xf numFmtId="200" fontId="8" fillId="3" borderId="8" xfId="0" applyNumberFormat="1" applyFont="1" applyFill="1" applyBorder="1"/>
    <x:xf numFmtId="200" fontId="15" fillId="3" borderId="3" xfId="0" applyNumberFormat="1" applyFont="1" applyFill="1" applyBorder="1"/>
    <x:xf numFmtId="200" fontId="15" fillId="3" borderId="8" xfId="0" applyNumberFormat="1" applyFont="1" applyFill="1" applyBorder="1"/>
    <x:xf numFmtId="200" fontId="15" fillId="3" borderId="3" xfId="0" applyNumberFormat="1" applyFont="1" applyFill="1" applyBorder="1" applyAlignment="1">
      <x:alignment wrapText="1"/>
    </x:xf>
    <x:xf numFmtId="200" fontId="15" fillId="3" borderId="8" xfId="0" applyNumberFormat="1" applyFont="1" applyFill="1" applyBorder="1" applyAlignment="1">
      <x:alignment wrapText="1"/>
    </x:xf>
    <x:xf numFmtId="168" fontId="12" fillId="2" borderId="4" xfId="0" applyNumberFormat="1" applyFont="1" applyFill="1" applyBorder="1" applyAlignment="1">
      <x:alignment vertical="top" wrapText="1"/>
    </x:xf>
    <x:xf numFmtId="168" fontId="12" fillId="5" borderId="4" xfId="0" applyNumberFormat="1" applyFont="1" applyFill="1" applyBorder="1" applyAlignment="1">
      <x:alignment vertical="top" wrapText="1"/>
    </x:xf>
    <x:xf numFmtId="168" fontId="12" fillId="2" borderId="9" xfId="0" applyNumberFormat="1" applyFont="1" applyFill="1" applyBorder="1" applyAlignment="1">
      <x:alignment vertical="top" wrapText="1"/>
    </x:xf>
    <x:xf numFmtId="168" fontId="12" fillId="5" borderId="9" xfId="0" applyNumberFormat="1" applyFont="1" applyFill="1" applyBorder="1" applyAlignment="1">
      <x:alignment vertical="top" wrapText="1"/>
    </x:xf>
    <x:xf numFmtId="2" fontId="12" fillId="2" borderId="1" xfId="0" applyNumberFormat="1" applyFont="1" applyFill="1" applyBorder="1" applyAlignment="1">
      <x:alignment vertical="top" wrapText="1"/>
    </x:xf>
    <x:xf numFmtId="2" fontId="12" fillId="2" borderId="6" xfId="0" applyNumberFormat="1" applyFont="1" applyFill="1" applyBorder="1" applyAlignment="1">
      <x:alignment vertical="top" wrapText="1"/>
    </x:xf>
    <x:xf numFmtId="0" fontId="12" fillId="2" borderId="1" xfId="0" applyNumberFormat="1" applyFont="1" applyFill="1" applyBorder="1" applyAlignment="1">
      <x:alignment horizontal="center"/>
    </x:xf>
    <x:xf numFmtId="0" fontId="12" fillId="2" borderId="6" xfId="0" applyNumberFormat="1" applyFont="1" applyFill="1" applyBorder="1" applyAlignment="1">
      <x:alignment horizontal="center"/>
    </x:xf>
    <x:xf numFmtId="0" fontId="12" fillId="2" borderId="1" xfId="0" applyNumberFormat="1" applyFont="1" applyFill="1" applyBorder="1" applyAlignment="1">
      <x:alignment horizontal="center" wrapText="1"/>
    </x:xf>
    <x:xf numFmtId="0" fontId="12" fillId="2" borderId="6" xfId="0" applyNumberFormat="1" applyFont="1" applyFill="1" applyBorder="1" applyAlignment="1">
      <x:alignment horizontal="center" wrapText="1"/>
    </x:xf>
    <x:xf numFmtId="0" fontId="16" fillId="0" borderId="0" xfId="0" applyNumberFormat="1" applyFont="1" applyFill="1" applyBorder="1" applyAlignment="1">
      <x:alignment vertical="top" wrapText="1"/>
    </x:xf>
    <x:xf numFmtId="0" fontId="16" fillId="0" borderId="5" xfId="0" applyNumberFormat="1" applyFont="1" applyFill="1" applyBorder="1" applyAlignment="1">
      <x:alignment vertical="top" wrapText="1"/>
    </x:xf>
    <x:xf numFmtId="164" fontId="15" fillId="3" borderId="3" xfId="0" applyNumberFormat="1" applyFont="1" applyFill="1" applyBorder="1" applyAlignment="1">
      <x:alignment horizontal="right"/>
    </x:xf>
  </x:cellXfs>
  <x:cellStyles count="1">
    <x:cellStyle name="Normal" xfId="0"/>
  </x:cellStyles>
  <x:dxfs count="5">
    <x:dxf>
      <x:fill>
        <x:patternFill>
          <x:bgColor rgb="FFFDF1DC"/>
        </x:patternFill>
      </x:fill>
    </x:dxf>
    <x:dxf>
      <x:fill>
        <x:patternFill>
          <x:bgColor rgb="FFFDF1DC"/>
        </x:patternFill>
      </x:fill>
    </x:dxf>
    <x:dxf>
      <x:fill>
        <x:patternFill>
          <x:bgColor rgb="FFFDF1DC"/>
        </x:patternFill>
      </x:fill>
    </x:dxf>
    <x:dxf>
      <x:fill>
        <x:patternFill>
          <x:bgColor rgb="FFFDF1DC"/>
        </x:patternFill>
      </x:fill>
    </x:dxf>
    <x:dxf>
      <x:font>
        <x:b/>
        <x:sz val="10"/>
        <x:color rgb="FF9A6B12"/>
        <x:name val="Arial"/>
      </x:font>
      <x:fill>
        <x:patternFill>
          <x:bgColor rgb="FFFDF1DC"/>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9A6B12"/>
      <x:rgbColor rgb="FF800080"/>
      <x:rgbColor rgb="FF008080"/>
      <x:rgbColor rgb="FFD8D0C2"/>
      <x:rgbColor rgb="FFA9853F"/>
      <x:rgbColor rgb="FF9999FF"/>
      <x:rgbColor rgb="FF993366"/>
      <x:rgbColor rgb="FFFDF1DC"/>
      <x:rgbColor rgb="FFF4F0E8"/>
      <x:rgbColor rgb="FF660066"/>
      <x:rgbColor rgb="FFFF8080"/>
      <x:rgbColor rgb="FF0066CC"/>
      <x:rgbColor rgb="FFE8E3D9"/>
      <x:rgbColor rgb="FF000080"/>
      <x:rgbColor rgb="FFFF00FF"/>
      <x:rgbColor rgb="FFFFFF00"/>
      <x:rgbColor rgb="FF00FFFF"/>
      <x:rgbColor rgb="FF800080"/>
      <x:rgbColor rgb="FF800000"/>
      <x:rgbColor rgb="FF008080"/>
      <x:rgbColor rgb="FF0000FF"/>
      <x:rgbColor rgb="FF00CCFF"/>
      <x:rgbColor rgb="FFFBFAF7"/>
      <x:rgbColor rgb="FFCCFFCC"/>
      <x:rgbColor rgb="FFFFFDF7"/>
      <x:rgbColor rgb="FF99CCFF"/>
      <x:rgbColor rgb="FFFF99CC"/>
      <x:rgbColor rgb="FFCC99FF"/>
      <x:rgbColor rgb="FFFFCC99"/>
      <x:rgbColor rgb="FF3366FF"/>
      <x:rgbColor rgb="FF33CCCC"/>
      <x:rgbColor rgb="FF99CC00"/>
      <x:rgbColor rgb="FFFFCC00"/>
      <x:rgbColor rgb="FFFF9900"/>
      <x:rgbColor rgb="FFFF6600"/>
      <x:rgbColor rgb="FF6B7280"/>
      <x:rgbColor rgb="FFC9AE7C"/>
      <x:rgbColor rgb="FF003366"/>
      <x:rgbColor rgb="FF339966"/>
      <x:rgbColor rgb="FF003300"/>
      <x:rgbColor rgb="FF5C3F1F"/>
      <x:rgbColor rgb="FF993300"/>
      <x:rgbColor rgb="FF993366"/>
      <x:rgbColor rgb="FF333399"/>
      <x:rgbColor rgb="FF1F2937"/>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5cdb6de232943b6" /><Relationship Type="http://schemas.openxmlformats.org/officeDocument/2006/relationships/theme" Target="/xl/theme/theme1.xml" Id="Raf203e74b7204c10" /><Relationship Type="http://schemas.openxmlformats.org/officeDocument/2006/relationships/sharedStrings" Target="/xl/sharedStrings.xml" Id="Rad51dd5571314c8e" /><Relationship Type="http://schemas.openxmlformats.org/officeDocument/2006/relationships/worksheet" Target="/xl/worksheets/sheet1.xml" Id="Rb744eb826cd6424e" /><Relationship Type="http://schemas.openxmlformats.org/officeDocument/2006/relationships/worksheet" Target="/xl/worksheets/sheet2.xml" Id="Radee530e79f247a7" /><Relationship Type="http://schemas.openxmlformats.org/officeDocument/2006/relationships/worksheet" Target="/xl/worksheets/sheet3.xml" Id="R72c7ab866e5d42d1" /><Relationship Type="http://schemas.openxmlformats.org/officeDocument/2006/relationships/worksheet" Target="/xl/worksheets/sheet4.xml" Id="R1c30150ad9eb49ea" /><Relationship Type="http://schemas.openxmlformats.org/officeDocument/2006/relationships/worksheet" Target="/xl/worksheets/sheet5.xml" Id="R2fbbb77b9bdf4f92" /><Relationship Type="http://schemas.openxmlformats.org/officeDocument/2006/relationships/worksheet" Target="/xl/worksheets/sheet6.xml" Id="R9679a2b75ab84a0a" /><Relationship Type="http://schemas.openxmlformats.org/officeDocument/2006/relationships/worksheet" Target="/xl/worksheets/sheet7.xml" Id="R62c16a82dad9461d" /><Relationship Type="http://schemas.openxmlformats.org/officeDocument/2006/relationships/worksheet" Target="/xl/worksheets/sheet8.xml" Id="R6d1d4019e9f945b9" /><Relationship Type="http://schemas.openxmlformats.org/officeDocument/2006/relationships/worksheet" Target="/xl/worksheets/sheet9.xml" Id="R6a9c26ff4f024d89" /><Relationship Type="http://schemas.openxmlformats.org/officeDocument/2006/relationships/worksheet" Target="/xl/worksheets/sheet10.xml" Id="R670e67fea8284d6b" /><Relationship Type="http://schemas.openxmlformats.org/officeDocument/2006/relationships/worksheet" Target="/xl/worksheets/sheet11.xml" Id="R40b1fcd733434a0b" /><Relationship Type="http://schemas.openxmlformats.org/officeDocument/2006/relationships/worksheet" Target="/xl/worksheets/sheet12.xml" Id="Rd9ef485cbb794598"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3" customWidth="1"/>
    <x:col min="2" max="2" width="34" customWidth="1"/>
    <x:col min="3" max="3" width="78" customWidth="1"/>
  </x:cols>
  <x:sheetData>
    <x:row r="6">
      <x:c r="B6" s="6"/>
    </x:row>
    <x:row r="7" ht="21.5">
      <x:c r="B7" s="7" t="s">
        <x:v>0</x:v>
      </x:c>
    </x:row>
    <x:row r="8">
      <x:c r="B8" s="8" t="s">
        <x:v>1</x:v>
      </x:c>
      <x:c r="C8" s="108" t="str">
        <x:v>FICTIONAL TEST DATA — FOR SYSTEM TESTING ONLY</x:v>
      </x:c>
    </x:row>
    <x:row r="10">
      <x:c r="B10" s="6" t="s">
        <x:v>2</x:v>
      </x:c>
    </x:row>
    <x:row r="11" ht="18" customHeight="1">
      <x:c r="B11" s="9" t="s">
        <x:v>3</x:v>
      </x:c>
      <x:c r="C11" s="118" t="str">
        <x:v>Asteron Industrial Holdings Pty Ltd ATF Asteron Industrial Property Trust</x:v>
      </x:c>
    </x:row>
    <x:row r="12" ht="18" customHeight="1">
      <x:c r="B12" s="9" t="s">
        <x:v>4</x:v>
      </x:c>
      <x:c r="C12" s="118" t="str">
        <x:v>88 Foundry Link, Truganina VIC 3029</x:v>
      </x:c>
    </x:row>
    <x:row r="13" ht="18" customHeight="1">
      <x:c r="B13" s="9" t="s">
        <x:v>5</x:v>
      </x:c>
      <x:c r="C13" s="118" t="str">
        <x:v>NPC-CIF-TEST-2026-001</x:v>
      </x:c>
    </x:row>
    <x:row r="14" ht="18" customHeight="1">
      <x:c r="B14" s="9" t="s">
        <x:v>6</x:v>
      </x:c>
      <x:c r="C14" s="118" t="str">
        <x:v>Maya Collins</x:v>
      </x:c>
    </x:row>
    <x:row r="15" ht="18" customHeight="1">
      <x:c r="B15" s="9" t="s">
        <x:v>7</x:v>
      </x:c>
      <x:c r="C15" s="119" t="n">
        <x:v>46233</x:v>
      </x:c>
    </x:row>
    <x:row r="16" ht="18" customHeight="1">
      <x:c r="B16" s="9" t="s">
        <x:v>8</x:v>
      </x:c>
      <x:c r="C16" s="119" t="n">
        <x:v>46234</x:v>
      </x:c>
    </x:row>
    <x:row r="18">
      <x:c r="B18" s="6" t="s">
        <x:v>9</x:v>
      </x:c>
    </x:row>
    <x:row r="19" ht="15" customHeight="1">
      <x:c r="B19" s="5" t="s">
        <x:v>10</x:v>
      </x:c>
      <x:c r="C19" s="5"/>
    </x:row>
    <x:row r="20" ht="15" customHeight="1">
      <x:c r="B20" s="5" t="s">
        <x:v>11</x:v>
      </x:c>
      <x:c r="C20" s="5"/>
    </x:row>
    <x:row r="21" ht="15" customHeight="1">
      <x:c r="B21" s="5" t="s">
        <x:v>12</x:v>
      </x:c>
      <x:c r="C21" s="5"/>
    </x:row>
    <x:row r="22" ht="15" customHeight="1">
      <x:c r="B22" s="5" t="s">
        <x:v>13</x:v>
      </x:c>
      <x:c r="C22" s="5"/>
    </x:row>
    <x:row r="23" ht="23.899999618530273" customHeight="1">
      <x:c r="B23" s="5" t="s">
        <x:v>14</x:v>
      </x:c>
      <x:c r="C23" s="5"/>
    </x:row>
    <x:row r="24" ht="15" customHeight="1">
      <x:c r="B24" s="5" t="s">
        <x:v>15</x:v>
      </x:c>
      <x:c r="C24" s="5"/>
    </x:row>
    <x:row r="26">
      <x:c r="B26" s="6" t="s">
        <x:v>16</x:v>
      </x:c>
    </x:row>
    <x:row r="27">
      <x:c r="B27" s="9" t="s">
        <x:v>17</x:v>
      </x:c>
      <x:c r="C27" s="11" t="s">
        <x:v>18</x:v>
      </x:c>
    </x:row>
    <x:row r="28">
      <x:c r="B28" s="9" t="s">
        <x:v>19</x:v>
      </x:c>
      <x:c r="C28" s="11" t="s">
        <x:v>20</x:v>
      </x:c>
    </x:row>
    <x:row r="29">
      <x:c r="B29" s="9" t="s">
        <x:v>21</x:v>
      </x:c>
      <x:c r="C29" s="11" t="s">
        <x:v>22</x:v>
      </x:c>
    </x:row>
    <x:row r="30">
      <x:c r="B30" s="9" t="s">
        <x:v>23</x:v>
      </x:c>
      <x:c r="C30" s="11" t="s">
        <x:v>24</x:v>
      </x:c>
    </x:row>
    <x:row r="31">
      <x:c r="B31" s="9" t="s">
        <x:v>25</x:v>
      </x:c>
      <x:c r="C31" s="11" t="s">
        <x:v>26</x:v>
      </x:c>
    </x:row>
    <x:row r="32">
      <x:c r="B32" s="9" t="s">
        <x:v>27</x:v>
      </x:c>
      <x:c r="C32" s="11" t="s">
        <x:v>28</x:v>
      </x:c>
    </x:row>
    <x:row r="34">
      <x:c r="B34" s="6" t="s">
        <x:v>29</x:v>
      </x:c>
    </x:row>
    <x:row r="35" ht="15" customHeight="1">
      <x:c r="B35" s="5" t="s">
        <x:v>30</x:v>
      </x:c>
      <x:c r="C35" s="5"/>
    </x:row>
    <x:row r="36">
      <x:c r="B36" s="5"/>
      <x:c r="C36" s="5"/>
    </x:row>
    <x:row r="37">
      <x:c r="B37" s="5"/>
      <x:c r="C37" s="5"/>
    </x:row>
    <x:row r="38">
      <x:c r="B38" s="5"/>
      <x:c r="C38" s="5"/>
    </x:row>
    <x:row r="40">
      <x:c r="B40" s="6" t="s">
        <x:v>31</x:v>
      </x:c>
      <x:c r="C40" s="122" t="str">
        <x:v>Meridian Commercial Advisory</x:v>
      </x:c>
    </x:row>
    <x:row r="41">
      <x:c r="B41" s="9" t="s">
        <x:v>32</x:v>
      </x:c>
      <x:c r="C41" s="123" t="str">
        <x:v>www.meridiancommercial.example</x:v>
      </x:c>
    </x:row>
    <x:row r="42">
      <x:c r="B42" s="9" t="s">
        <x:v>33</x:v>
      </x:c>
      <x:c r="C42" s="123" t="str">
        <x:v>advisory@meridiancommercial.example</x:v>
      </x:c>
    </x:row>
    <x:row r="43">
      <x:c r="B43" s="9" t="s">
        <x:v>34</x:v>
      </x:c>
      <x:c r="C43" s="123" t="str">
        <x:v>03 9000 4417 (mock)</x:v>
      </x:c>
    </x:row>
    <x:row r="44">
      <x:c r="B44" s="9" t="s">
        <x:v>35</x:v>
      </x:c>
      <x:c r="C44" s="123" t="str">
        <x:v>Level 12, 45 Sturt Street, Southbank VIC 3006 (mock)</x:v>
      </x:c>
    </x:row>
    <x:row r="45">
      <x:c r="B45" s="9" t="s">
        <x:v>36</x:v>
      </x:c>
      <x:c r="C45" s="123" t="str">
        <x:v>47 002 615 900 (fictional test identifier)</x:v>
      </x:c>
    </x:row>
    <x:row r="47" ht="15" customHeight="1">
      <x:c r="B47" s="4" t="s">
        <x:v>37</x:v>
      </x:c>
      <x:c r="C47" s="4"/>
    </x:row>
    <x:row r="48">
      <x:c r="B48" s="4"/>
      <x:c r="C48" s="4"/>
    </x:row>
  </x:sheetData>
  <x:mergeCells>
    <x:mergeCell ref="B24:C24"/>
    <x:mergeCell ref="B35:C38"/>
    <x:mergeCell ref="B47:C48"/>
    <x:mergeCell ref="B19:C19"/>
    <x:mergeCell ref="B20:C20"/>
    <x:mergeCell ref="B21:C21"/>
    <x:mergeCell ref="B22:C22"/>
    <x:mergeCell ref="B23:C23"/>
  </x:mergeCells>
  <x:pageMargins left="0.7" right="0.7" top="0.75" bottom="0.75" header="0.3" footer="0.3"/>
</x:worksheet>
</file>

<file path=xl/worksheets/sheet2.xml><?xml version="1.0" encoding="utf-8"?>
<x:worksheet xmlns:x="http://schemas.openxmlformats.org/spreadsheetml/2006/main">
  <x:sheetPr>
    <x:tabColor rgb="FFA9853F"/>
  </x:sheetPr>
  <x:sheetViews>
    <x:sheetView showGridLines="0" workbookViewId="0"/>
  </x:sheetViews>
  <x:sheetFormatPr defaultColWidth="8.6328125" defaultRowHeight="14.5"/>
  <x:cols>
    <x:col min="1" max="1" width="3" customWidth="1"/>
    <x:col min="2" max="2" width="53" customWidth="1"/>
    <x:col min="3" max="3" width="18" customWidth="1"/>
    <x:col min="4" max="4" width="62" customWidth="1"/>
  </x:cols>
  <x:sheetData>
    <x:row r="1" ht="19">
      <x:c r="B1" s="14" t="s">
        <x:v>38</x:v>
      </x:c>
    </x:row>
    <x:row r="2" ht="25.5" customHeight="1">
      <x:c r="B2" s="3" t="s">
        <x:v>39</x:v>
      </x:c>
      <x:c r="C2" s="3"/>
      <x:c r="D2" s="3"/>
    </x:row>
    <x:row r="5">
      <x:c r="B5" s="15" t="s">
        <x:v>40</x:v>
      </x:c>
      <x:c r="C5" s="16"/>
      <x:c r="D5" s="16"/>
    </x:row>
    <x:row r="6">
      <x:c r="B6" s="17" t="s">
        <x:v>41</x:v>
      </x:c>
      <x:c r="C6" s="126" t="str">
        <x:v>FY2025</x:v>
      </x:c>
      <x:c r="D6" s="13" t="s">
        <x:v>42</x:v>
      </x:c>
    </x:row>
    <x:row r="8">
      <x:c r="B8" s="15" t="s">
        <x:v>43</x:v>
      </x:c>
      <x:c r="C8" s="16"/>
      <x:c r="D8" s="16"/>
    </x:row>
    <x:row r="9">
      <x:c r="B9" s="17" t="s">
        <x:v>44</x:v>
      </x:c>
      <x:c r="C9" s="198" t="n">
        <x:f>N('1. Transaction'!$B$11)</x:f>
        <x:v>5850000</x:v>
      </x:c>
      <x:c r="D9" s="13"/>
    </x:row>
    <x:row r="10" ht="24">
      <x:c r="B10" s="17" t="s">
        <x:v>45</x:v>
      </x:c>
      <x:c r="C10" s="198" t="n">
        <x:f>SUM('1. Transaction'!$B$20:$B$28)+N('1. Transaction'!$B$39)</x:f>
        <x:v>738250</x:v>
      </x:c>
      <x:c r="D10" s="13" t="s">
        <x:v>46</x:v>
      </x:c>
    </x:row>
    <x:row r="11">
      <x:c r="B11" s="17" t="s">
        <x:v>47</x:v>
      </x:c>
      <x:c r="C11" s="19" t="n">
        <x:f>N('1. Transaction'!$B$30)</x:f>
        <x:v>0</x:v>
      </x:c>
      <x:c r="D11" s="13"/>
    </x:row>
    <x:row r="12">
      <x:c r="B12" s="20" t="s">
        <x:v>48</x:v>
      </x:c>
      <x:c r="C12" s="21" t="n">
        <x:f>N($C$9)+N($C$10)+N($C$11)</x:f>
        <x:v>6588250</x:v>
      </x:c>
      <x:c r="D12" s="13"/>
    </x:row>
    <x:row r="14">
      <x:c r="B14" s="15" t="s">
        <x:v>49</x:v>
      </x:c>
      <x:c r="C14" s="16"/>
      <x:c r="D14" s="16"/>
    </x:row>
    <x:row r="15">
      <x:c r="B15" s="17" t="s">
        <x:v>50</x:v>
      </x:c>
      <x:c r="C15" s="19" t="n">
        <x:f>N('1. Transaction'!$B$29)</x:f>
        <x:v>2493250</x:v>
      </x:c>
      <x:c r="D15" s="13"/>
    </x:row>
    <x:row r="16">
      <x:c r="B16" s="17" t="s">
        <x:v>51</x:v>
      </x:c>
      <x:c r="C16" s="19" t="n">
        <x:f>N('1. Transaction'!$B$32)</x:f>
        <x:v>4095000</x:v>
      </x:c>
      <x:c r="D16" s="13"/>
    </x:row>
    <x:row r="17">
      <x:c r="B17" s="20" t="s">
        <x:v>52</x:v>
      </x:c>
      <x:c r="C17" s="21" t="n">
        <x:f>N($C$15)+N($C$16)</x:f>
        <x:v>6588250</x:v>
      </x:c>
      <x:c r="D17" s="13"/>
    </x:row>
    <x:row r="18" ht="24">
      <x:c r="B18" s="20" t="s">
        <x:v>53</x:v>
      </x:c>
      <x:c r="C18" s="21" t="n">
        <x:f>N($C$17)-N($C$12)</x:f>
        <x:v>0</x:v>
      </x:c>
      <x:c r="D18" s="13" t="s">
        <x:v>54</x:v>
      </x:c>
    </x:row>
    <x:row r="20">
      <x:c r="B20" s="15" t="s">
        <x:v>55</x:v>
      </x:c>
      <x:c r="C20" s="16"/>
      <x:c r="D20" s="16"/>
    </x:row>
    <x:row r="21">
      <x:c r="B21" s="17" t="s">
        <x:v>56</x:v>
      </x:c>
      <x:c r="C21" s="19" t="n">
        <x:f>IF(AND('1. Transaction'!$B$11="",'1. Transaction'!$B$12=""),"",IF('1. Transaction'!$B$11="",'1. Transaction'!$B$12,IF('1. Transaction'!$B$12="",'1. Transaction'!$B$11,MIN('1. Transaction'!$B$11,'1. Transaction'!$B$12))))</x:f>
        <x:v>5850000</x:v>
      </x:c>
      <x:c r="D21" s="13" t="s">
        <x:v>57</x:v>
      </x:c>
    </x:row>
    <x:row r="22">
      <x:c r="B22" s="17" t="s">
        <x:v>58</x:v>
      </x:c>
      <x:c r="C22" s="22" t="n">
        <x:f>IFERROR(N($C$16)/$C$21,"")</x:f>
        <x:v>0.7</x:v>
      </x:c>
      <x:c r="D22" s="13"/>
    </x:row>
    <x:row r="23">
      <x:c r="B23" s="17" t="s">
        <x:v>59</x:v>
      </x:c>
      <x:c r="C23" s="19" t="n">
        <x:f>N($C$21)+SUM('5. Portfolio'!$E$4:$E$17)</x:f>
        <x:v>10350000</x:v>
      </x:c>
      <x:c r="D23" s="13" t="s">
        <x:v>60</x:v>
      </x:c>
    </x:row>
    <x:row r="24">
      <x:c r="B24" s="17" t="s">
        <x:v>61</x:v>
      </x:c>
      <x:c r="C24" s="19" t="n">
        <x:f>N($C$16)+SUM('5. Portfolio'!$F$4:$F$17)+SUM('5b. Liabilities'!$E$4:$E$17)</x:f>
        <x:v>6638400</x:v>
      </x:c>
      <x:c r="D24" s="13"/>
    </x:row>
    <x:row r="25">
      <x:c r="B25" s="20" t="s">
        <x:v>62</x:v>
      </x:c>
      <x:c r="C25" s="21" t="n">
        <x:f>N($C$23)-N($C$24)</x:f>
        <x:v>3711600</x:v>
      </x:c>
      <x:c r="D25" s="13"/>
    </x:row>
    <x:row r="26">
      <x:c r="B26" s="17" t="s">
        <x:v>63</x:v>
      </x:c>
      <x:c r="C26" s="22" t="n">
        <x:f>IFERROR(N($C$24)/N($C$23),"")</x:f>
        <x:v>0.6413913043478261</x:v>
      </x:c>
      <x:c r="D26" s="13"/>
    </x:row>
    <x:row r="28">
      <x:c r="B28" s="15" t="s">
        <x:v>64</x:v>
      </x:c>
      <x:c r="C28" s="16"/>
      <x:c r="D28" s="16"/>
    </x:row>
    <x:row r="29" ht="24">
      <x:c r="B29" s="17" t="s">
        <x:v>65</x:v>
      </x:c>
      <x:c r="C29" s="19" t="n">
        <x:f>IF(OR('1. Transaction'!$B$32="",'1. Transaction'!$B$33=""),"",IF('1. Transaction'!$B$34="Interest only",'1. Transaction'!$B$32*'1. Transaction'!$B$33/100,IF('1. Transaction'!$B$36&gt;0,-PMT('1. Transaction'!$B$33/100,'1. Transaction'!$B$36,'1. Transaction'!$B$32),'1. Transaction'!$B$32*'1. Transaction'!$B$33/100)))</x:f>
        <x:v>280507.5</x:v>
      </x:c>
      <x:c r="D29" s="13" t="s">
        <x:v>66</x:v>
      </x:c>
    </x:row>
    <x:row r="30">
      <x:c r="B30" s="17" t="s">
        <x:v>67</x:v>
      </x:c>
      <x:c r="C30" s="19" t="n">
        <x:f>N('1. Transaction'!$B$40)</x:f>
        <x:v>1800</x:v>
      </x:c>
      <x:c r="D30" s="13"/>
    </x:row>
    <x:row r="31">
      <x:c r="B31" s="17" t="s">
        <x:v>68</x:v>
      </x:c>
      <x:c r="C31" s="19" t="n">
        <x:f>SUM('5. Portfolio'!V4:V17)</x:f>
        <x:v>204035.45598965147</x:v>
      </x:c>
      <x:c r="D31" s="13" t="s">
        <x:v>69</x:v>
      </x:c>
    </x:row>
    <x:row r="32">
      <x:c r="B32" s="17" t="s">
        <x:v>70</x:v>
      </x:c>
      <x:c r="C32" s="19" t="n">
        <x:f>SUM('5b. Liabilities'!L4:L17)</x:f>
        <x:v>99000</x:v>
      </x:c>
      <x:c r="D32" s="13"/>
    </x:row>
    <x:row r="33">
      <x:c r="B33" s="20" t="s">
        <x:v>71</x:v>
      </x:c>
      <x:c r="C33" s="21" t="n">
        <x:f>N($C$29)+N($C$30)+N($C$31)+N($C$32)</x:f>
        <x:v>585342.9559896515</x:v>
      </x:c>
      <x:c r="D33" s="13"/>
    </x:row>
    <x:row r="35">
      <x:c r="B35" s="15" t="s">
        <x:v>72</x:v>
      </x:c>
      <x:c r="C35" s="16"/>
      <x:c r="D35" s="16"/>
    </x:row>
    <x:row r="36">
      <x:c r="B36" s="17" t="s">
        <x:v>73</x:v>
      </x:c>
      <x:c r="C36" s="19" t="n">
        <x:f>IF($C$6="","",SUMIF('4. Income'!$A$4:$A$17,$C$6,'4. Income'!$G$4:$G$17))</x:f>
        <x:v>1145000</x:v>
      </x:c>
      <x:c r="D36" s="13"/>
    </x:row>
    <x:row r="37">
      <x:c r="B37" s="17" t="s">
        <x:v>74</x:v>
      </x:c>
      <x:c r="C37" s="19" t="n">
        <x:f>IF($C$6="","",SUMIFS('4b. Add-backs'!$C$4:$C$17,'4b. Add-backs'!$A$4:$A$17,$C$6,'4b. Add-backs'!$F$4:$F$17,"Yes"))</x:f>
        <x:v>115000</x:v>
      </x:c>
      <x:c r="D37" s="13" t="s">
        <x:v>75</x:v>
      </x:c>
    </x:row>
    <x:row r="38">
      <x:c r="B38" s="17" t="s">
        <x:v>76</x:v>
      </x:c>
      <x:c r="C38" s="19" t="n">
        <x:f>IF($C$6="","",SUMIF('4. Income'!$A$4:$A$17,$C$6,'4. Income'!$E$4:$E$17)+SUMIF('4. Income'!$A$4:$A$17,$C$6,'4. Income'!$L$4:$L$17)+SUMIF('4. Income'!$A$4:$A$17,$C$6,'4. Income'!$M$4:$M$17)+SUMIF('4. Income'!$A$4:$A$17,$C$6,'4. Income'!$O$4:$O$17))</x:f>
        <x:v>165000</x:v>
      </x:c>
      <x:c r="D38" s="13"/>
    </x:row>
    <x:row r="39">
      <x:c r="B39" s="17" t="s">
        <x:v>77</x:v>
      </x:c>
      <x:c r="C39" s="19" t="n">
        <x:f>SUM('6. Tenancies'!$B$4:$B$17)</x:f>
        <x:v>423000</x:v>
      </x:c>
      <x:c r="D39" s="13"/>
    </x:row>
    <x:row r="40" ht="24">
      <x:c r="B40" s="17" t="s">
        <x:v>78</x:v>
      </x:c>
      <x:c r="C40" s="19" t="n">
        <x:f>IF($C$39=0,0,$C$39*(1-N('6b. Lease terms'!$B$7)/100)*(1-N('6b. Lease terms'!$B$8)/100)-N('6b. Lease terms'!$B$6))</x:f>
        <x:v>383603.8</x:v>
      </x:c>
      <x:c r="D40" s="13" t="s">
        <x:v>79</x:v>
      </x:c>
    </x:row>
    <x:row r="41">
      <x:c r="B41" s="17" t="s">
        <x:v>80</x:v>
      </x:c>
      <x:c r="C41" s="19" t="n">
        <x:f>SUM('5. Portfolio'!$M$4:$M$17)-SUM('5. Portfolio'!$P$4:$P$17)-SUM('5. Portfolio'!$Q$4:$Q$17)-SUM('5. Portfolio'!$R$4:$R$17)-SUM('5. Portfolio'!$S$4:$S$17)-SUM('5. Portfolio'!$T$4:$T$17)</x:f>
        <x:v>253480</x:v>
      </x:c>
      <x:c r="D41" s="13" t="s">
        <x:v>81</x:v>
      </x:c>
    </x:row>
    <x:row r="42" ht="24">
      <x:c r="B42" s="20" t="s">
        <x:v>82</x:v>
      </x:c>
      <x:c r="C42" s="21" t="n">
        <x:f>N($C$36)+N($C$37)+N($C$38)+N($C$40)+N($C$41)</x:f>
        <x:v>2062083.8</x:v>
      </x:c>
      <x:c r="D42" s="13" t="s">
        <x:v>83</x:v>
      </x:c>
    </x:row>
    <x:row r="44">
      <x:c r="B44" s="15" t="s">
        <x:v>84</x:v>
      </x:c>
      <x:c r="C44" s="16"/>
      <x:c r="D44" s="16"/>
    </x:row>
    <x:row r="45">
      <x:c r="B45" s="20" t="s">
        <x:v>85</x:v>
      </x:c>
      <x:c r="C45" s="23" t="n">
        <x:f>IFERROR(N($C$42)/N($C$33),"")</x:f>
        <x:v>3.522864295024431</x:v>
      </x:c>
      <x:c r="D45" s="13" t="s">
        <x:v>86</x:v>
      </x:c>
    </x:row>
    <x:row r="46">
      <x:c r="B46" s="20" t="s">
        <x:v>87</x:v>
      </x:c>
      <x:c r="C46" s="21" t="n">
        <x:f>N($C$42)-N($C$33)</x:f>
        <x:v>1476740.8440103484</x:v>
      </x:c>
      <x:c r="D46" s="13"/>
    </x:row>
    <x:row r="47">
      <x:c r="B47" s="17" t="s">
        <x:v>88</x:v>
      </x:c>
      <x:c r="C47" s="22" t="n">
        <x:f>IFERROR($C$39/N($C$21),"")</x:f>
        <x:v>0.07230769230769231</x:v>
      </x:c>
      <x:c r="D47" s="13"/>
    </x:row>
    <x:row r="49">
      <x:c r="B49" s="15" t="s">
        <x:v>89</x:v>
      </x:c>
      <x:c r="C49" s="16"/>
      <x:c r="D49" s="16"/>
    </x:row>
    <x:row r="50">
      <x:c r="B50" s="17" t="s">
        <x:v>90</x:v>
      </x:c>
      <x:c r="C50" s="24">
        <x:v>100</x:v>
      </x:c>
      <x:c r="D50" s="13" t="s">
        <x:v>91</x:v>
      </x:c>
    </x:row>
    <x:row r="51">
      <x:c r="B51" s="17" t="s">
        <x:v>92</x:v>
      </x:c>
      <x:c r="C51" s="24" t="str">
        <x:f>IF(AND('1. Transaction'!$B$11="",'1. Transaction'!$B$32=""),"Not started",IF(N($C$18)&gt;=-1,"OK","Shortfall of "&amp;TEXT(-N($C$18),"$#,##0")))</x:f>
        <x:v>OK</x:v>
      </x:c>
      <x:c r="D51" s="13"/>
    </x:row>
    <x:row r="52">
      <x:c r="B52" s="17" t="s">
        <x:v>93</x:v>
      </x:c>
      <x:c r="C52" s="24" t="str">
        <x:f>IF('2. Purpose'!$B$5="","Not answered",IF('2. Purpose'!$B$5="Yes","OK","Specialist review required"))</x:f>
        <x:v>OK</x:v>
      </x:c>
      <x:c r="D52" s="13"/>
    </x:row>
    <x:row r="53">
      <x:c r="B53" s="17" t="s">
        <x:v>94</x:v>
      </x:c>
      <x:c r="C53" s="24" t="str">
        <x:f>IF('2. Purpose'!$B$6="","Not answered",IF('2. Purpose'!$B$6="No","OK","Residential security offered — flag it"))</x:f>
        <x:v>OK</x:v>
      </x:c>
      <x:c r="D53" s="13"/>
    </x:row>
    <x:row r="54">
      <x:c r="B54" s="17" t="s">
        <x:v>95</x:v>
      </x:c>
      <x:c r="C54" s="24" t="str">
        <x:f>IF(OR('1. Transaction'!$B$11="",'1. Transaction'!$B$12=""),"Not available",IF('1. Transaction'!$B$12&gt;='1. Transaction'!$B$11,"OK","Valuation "&amp;TEXT('1. Transaction'!$B$11-'1. Transaction'!$B$12,"$#,##0")&amp;" below price"))</x:f>
        <x:v>OK</x:v>
      </x:c>
      <x:c r="D54" s="13"/>
    </x:row>
    <x:row r="55">
      <x:c r="B55" s="17" t="s">
        <x:v>96</x:v>
      </x:c>
      <x:c r="C55" s="24" t="str">
        <x:f>IF(COUNT('4b. Add-backs'!$C$4:$C$17)=0,"None recorded",IF(COUNTIF('4b. Add-backs'!$F$4:$F$17,"Yes")=COUNT('4b. Add-backs'!$C$4:$C$17),"OK",TEXT(COUNT('4b. Add-backs'!$C$4:$C$17)-COUNTIF('4b. Add-backs'!$F$4:$F$17,"Yes"),"0")&amp;" not yet confirmed"))</x:f>
        <x:v>OK</x:v>
      </x:c>
      <x:c r="D55" s="13" t="s">
        <x:v>97</x:v>
      </x:c>
    </x:row>
    <x:row r="56">
      <x:c r="B56" s="17" t="s">
        <x:v>98</x:v>
      </x:c>
      <x:c r="C56" s="24" t="str">
        <x:f>IF(COUNTA('4. Income'!$A$4:$A$17)=0,"None recorded",IF(COUNTA('4. Income'!$A$4:$A$17)&gt;=2,"OK","Only one period — a trend needs two"))</x:f>
        <x:v>OK</x:v>
      </x:c>
      <x:c r="D56" s="13"/>
    </x:row>
    <x:row r="57">
      <x:c r="B57" s="17" t="s">
        <x:v>99</x:v>
      </x:c>
      <x:c r="C57" s="24" t="str">
        <x:f>IF(SUM('6. Tenancies'!$B$4:$B$17)=0,"None recorded","OK")</x:f>
        <x:v>OK</x:v>
      </x:c>
      <x:c r="D57" s="13"/>
    </x:row>
    <x:row r="59" ht="15" customHeight="1">
      <x:c r="B59" s="4" t="s">
        <x:v>37</x:v>
      </x:c>
      <x:c r="C59" s="4"/>
      <x:c r="D59" s="4"/>
    </x:row>
    <x:row r="60">
      <x:c r="B60" s="4"/>
      <x:c r="C60" s="4"/>
      <x:c r="D60" s="4"/>
    </x:row>
  </x:sheetData>
  <x:mergeCells>
    <x:mergeCell ref="B2:D2"/>
    <x:mergeCell ref="B59:D60"/>
  </x:mergeCells>
  <x:conditionalFormatting sqref="C50:C57">
    <x:cfRule type="expression" dxfId="4" priority="2">
      <x:formula>AND(LEN($C50)&gt;0,$C50&lt;&gt;"OK")</x:formula>
    </x:cfRule>
  </x:conditionalFormatting>
  <x:pageMargins left="0.7" right="0.7" top="0.75" bottom="0.75" header="0.3" footer="0.3"/>
</x:worksheet>
</file>

<file path=xl/worksheets/sheet3.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62" customWidth="1"/>
    <x:col min="2" max="2" width="30" customWidth="1"/>
    <x:col min="3" max="3" width="58" customWidth="1"/>
  </x:cols>
  <x:sheetData>
    <x:row r="1" ht="21.75" customHeight="1">
      <x:c r="A1" s="2" t="s">
        <x:v>100</x:v>
      </x:c>
      <x:c r="B1" s="2"/>
      <x:c r="C1" s="2"/>
    </x:row>
    <x:row r="2" ht="25.5" customHeight="1">
      <x:c r="A2" s="3" t="s">
        <x:v>101</x:v>
      </x:c>
      <x:c r="B2" s="3"/>
      <x:c r="C2" s="3"/>
    </x:row>
    <x:row r="3" ht="19.5" customHeight="1">
      <x:c r="A3" s="25" t="s">
        <x:v>102</x:v>
      </x:c>
      <x:c r="B3" s="25" t="s">
        <x:v>103</x:v>
      </x:c>
      <x:c r="C3" s="25" t="s">
        <x:v>104</x:v>
      </x:c>
    </x:row>
    <x:row r="4" ht="48">
      <x:c r="A4" s="26" t="s">
        <x:v>105</x:v>
      </x:c>
      <x:c r="B4" s="134" t="str">
        <x:v>Industrial investment</x:v>
      </x:c>
      <x:c r="C4" s="28" t="s">
        <x:v>106</x:v>
      </x:c>
    </x:row>
    <x:row r="5">
      <x:c r="A5" s="26" t="s">
        <x:v>107</x:v>
      </x:c>
      <x:c r="B5" s="135" t="str">
        <x:v>88 Foundry Link</x:v>
      </x:c>
      <x:c r="C5" s="28"/>
    </x:row>
    <x:row r="6">
      <x:c r="A6" s="26" t="s">
        <x:v>108</x:v>
      </x:c>
      <x:c r="B6" s="135" t="str">
        <x:v>Truganina</x:v>
      </x:c>
      <x:c r="C6" s="28"/>
    </x:row>
    <x:row r="7">
      <x:c r="A7" s="26" t="s">
        <x:v>109</x:v>
      </x:c>
      <x:c r="B7" s="134" t="str">
        <x:v>VIC</x:v>
      </x:c>
      <x:c r="C7" s="28" t="s">
        <x:v>110</x:v>
      </x:c>
    </x:row>
    <x:row r="8">
      <x:c r="A8" s="26" t="s">
        <x:v>111</x:v>
      </x:c>
      <x:c r="B8" s="135" t="str">
        <x:v>3029</x:v>
      </x:c>
      <x:c r="C8" s="28"/>
    </x:row>
    <x:row r="9" ht="26">
      <x:c r="A9" s="26" t="s">
        <x:v>112</x:v>
      </x:c>
      <x:c r="B9" s="134" t="str">
        <x:v>Industrial</x:v>
      </x:c>
      <x:c r="C9" s="28" t="s">
        <x:v>113</x:v>
      </x:c>
    </x:row>
    <x:row r="10" ht="36">
      <x:c r="A10" s="26" t="s">
        <x:v>114</x:v>
      </x:c>
      <x:c r="B10" s="134" t="str">
        <x:v>Warehouse</x:v>
      </x:c>
      <x:c r="C10" s="28" t="s">
        <x:v>115</x:v>
      </x:c>
    </x:row>
    <x:row r="11">
      <x:c r="A11" s="26" t="s">
        <x:v>116</x:v>
      </x:c>
      <x:c r="B11" s="136" t="n">
        <x:v>5850000</x:v>
      </x:c>
      <x:c r="C11" s="28"/>
    </x:row>
    <x:row r="12">
      <x:c r="A12" s="26" t="s">
        <x:v>117</x:v>
      </x:c>
      <x:c r="B12" s="136" t="n">
        <x:v>5950000</x:v>
      </x:c>
      <x:c r="C12" s="28" t="s">
        <x:v>118</x:v>
      </x:c>
    </x:row>
    <x:row r="13">
      <x:c r="A13" s="31" t="s">
        <x:v>119</x:v>
      </x:c>
      <x:c r="B13" s="137" t="n">
        <x:v>46221</x:v>
      </x:c>
      <x:c r="C13" s="28" t="s">
        <x:v>120</x:v>
      </x:c>
    </x:row>
    <x:row r="14">
      <x:c r="A14" s="31" t="s">
        <x:v>121</x:v>
      </x:c>
      <x:c r="B14" s="137" t="str">
        <x:v>Southern Cross Valuations Pty Ltd (mock)</x:v>
      </x:c>
      <x:c r="C14" s="28" t="s">
        <x:v>120</x:v>
      </x:c>
    </x:row>
    <x:row r="15">
      <x:c r="A15" s="31" t="s">
        <x:v>122</x:v>
      </x:c>
      <x:c r="B15" s="137" t="n">
        <x:v>46225</x:v>
      </x:c>
      <x:c r="C15" s="28" t="s">
        <x:v>120</x:v>
      </x:c>
    </x:row>
    <x:row r="16">
      <x:c r="A16" s="31" t="s">
        <x:v>123</x:v>
      </x:c>
      <x:c r="B16" s="137" t="n">
        <x:v>46295</x:v>
      </x:c>
      <x:c r="C16" s="28" t="s">
        <x:v>120</x:v>
      </x:c>
    </x:row>
    <x:row r="17" ht="26">
      <x:c r="A17" s="26" t="s">
        <x:v>124</x:v>
      </x:c>
      <x:c r="B17" s="134" t="str">
        <x:v>Going concern (GST-free)</x:v>
      </x:c>
      <x:c r="C17" s="28" t="s">
        <x:v>125</x:v>
      </x:c>
    </x:row>
    <x:row r="18">
      <x:c r="A18" s="31" t="s">
        <x:v>126</x:v>
      </x:c>
      <x:c r="B18" s="138" t="n">
        <x:v>3240</x:v>
      </x:c>
      <x:c r="C18" s="28" t="s">
        <x:v>120</x:v>
      </x:c>
    </x:row>
    <x:row r="19">
      <x:c r="A19" s="31" t="s">
        <x:v>127</x:v>
      </x:c>
      <x:c r="B19" s="138" t="n">
        <x:v>5480</x:v>
      </x:c>
      <x:c r="C19" s="28" t="s">
        <x:v>120</x:v>
      </x:c>
    </x:row>
    <x:row r="20">
      <x:c r="A20" s="26" t="s">
        <x:v>128</x:v>
      </x:c>
      <x:c r="B20" s="136" t="n">
        <x:v>380250</x:v>
      </x:c>
      <x:c r="C20" s="28"/>
    </x:row>
    <x:row r="21">
      <x:c r="A21" s="31" t="s">
        <x:v>129</x:v>
      </x:c>
      <x:c r="B21" s="136" t="n">
        <x:v>18500</x:v>
      </x:c>
      <x:c r="C21" s="28" t="s">
        <x:v>120</x:v>
      </x:c>
    </x:row>
    <x:row r="22">
      <x:c r="A22" s="31" t="s">
        <x:v>130</x:v>
      </x:c>
      <x:c r="B22" s="136" t="n">
        <x:v>7500</x:v>
      </x:c>
      <x:c r="C22" s="28" t="s">
        <x:v>120</x:v>
      </x:c>
    </x:row>
    <x:row r="23">
      <x:c r="A23" s="31" t="s">
        <x:v>131</x:v>
      </x:c>
      <x:c r="B23" s="136" t="n">
        <x:v>22000</x:v>
      </x:c>
      <x:c r="C23" s="28" t="s">
        <x:v>120</x:v>
      </x:c>
    </x:row>
    <x:row r="24">
      <x:c r="A24" s="31" t="s">
        <x:v>132</x:v>
      </x:c>
      <x:c r="B24" s="136" t="n">
        <x:v>85000</x:v>
      </x:c>
      <x:c r="C24" s="28" t="s">
        <x:v>120</x:v>
      </x:c>
    </x:row>
    <x:row r="25">
      <x:c r="A25" s="31" t="s">
        <x:v>133</x:v>
      </x:c>
      <x:c r="B25" s="136" t="n">
        <x:v>0</x:v>
      </x:c>
      <x:c r="C25" s="28" t="s">
        <x:v>120</x:v>
      </x:c>
    </x:row>
    <x:row r="26">
      <x:c r="A26" s="31" t="s">
        <x:v>134</x:v>
      </x:c>
      <x:c r="B26" s="136" t="n">
        <x:v>35000</x:v>
      </x:c>
      <x:c r="C26" s="28" t="s">
        <x:v>120</x:v>
      </x:c>
    </x:row>
    <x:row r="27">
      <x:c r="A27" s="31" t="s">
        <x:v>135</x:v>
      </x:c>
      <x:c r="B27" s="136" t="n">
        <x:v>120000</x:v>
      </x:c>
      <x:c r="C27" s="28" t="s">
        <x:v>120</x:v>
      </x:c>
    </x:row>
    <x:row r="28">
      <x:c r="A28" s="31" t="s">
        <x:v>136</x:v>
      </x:c>
      <x:c r="B28" s="136" t="n">
        <x:v>50000</x:v>
      </x:c>
      <x:c r="C28" s="28" t="s">
        <x:v>120</x:v>
      </x:c>
    </x:row>
    <x:row r="29">
      <x:c r="A29" s="26" t="s">
        <x:v>137</x:v>
      </x:c>
      <x:c r="B29" s="136" t="n">
        <x:v>2493250</x:v>
      </x:c>
      <x:c r="C29" s="28"/>
    </x:row>
    <x:row r="30">
      <x:c r="A30" s="31" t="s">
        <x:v>138</x:v>
      </x:c>
      <x:c r="B30" s="136" t="n">
        <x:v>0</x:v>
      </x:c>
      <x:c r="C30" s="28" t="s">
        <x:v>120</x:v>
      </x:c>
    </x:row>
    <x:row r="31">
      <x:c r="A31" s="31" t="s">
        <x:v>139</x:v>
      </x:c>
      <x:c r="B31" s="136" t="str">
        <x:v>No equity release — acquisition funding only.</x:v>
      </x:c>
      <x:c r="C31" s="28" t="s">
        <x:v>120</x:v>
      </x:c>
    </x:row>
    <x:row r="32">
      <x:c r="A32" s="26" t="s">
        <x:v>140</x:v>
      </x:c>
      <x:c r="B32" s="136" t="n">
        <x:v>4095000</x:v>
      </x:c>
      <x:c r="C32" s="28"/>
    </x:row>
    <x:row r="33">
      <x:c r="A33" s="26" t="s">
        <x:v>141</x:v>
      </x:c>
      <x:c r="B33" s="139" t="n">
        <x:v>6.85</x:v>
      </x:c>
      <x:c r="C33" s="28"/>
    </x:row>
    <x:row r="34">
      <x:c r="A34" s="26" t="s">
        <x:v>142</x:v>
      </x:c>
      <x:c r="B34" s="134" t="str">
        <x:v>Interest only</x:v>
      </x:c>
      <x:c r="C34" s="28" t="s">
        <x:v>143</x:v>
      </x:c>
    </x:row>
    <x:row r="35">
      <x:c r="A35" s="26" t="s">
        <x:v>144</x:v>
      </x:c>
      <x:c r="B35" s="140" t="n">
        <x:v>5</x:v>
      </x:c>
      <x:c r="C35" s="28"/>
    </x:row>
    <x:row r="36">
      <x:c r="A36" s="26" t="s">
        <x:v>145</x:v>
      </x:c>
      <x:c r="B36" s="140" t="n">
        <x:v>20</x:v>
      </x:c>
      <x:c r="C36" s="28"/>
    </x:row>
    <x:row r="37">
      <x:c r="A37" s="31" t="s">
        <x:v>146</x:v>
      </x:c>
      <x:c r="B37" s="140" t="n">
        <x:v>3</x:v>
      </x:c>
      <x:c r="C37" s="28" t="s">
        <x:v>120</x:v>
      </x:c>
    </x:row>
    <x:row r="38">
      <x:c r="A38" s="31" t="s">
        <x:v>147</x:v>
      </x:c>
      <x:c r="B38" s="136" t="n">
        <x:v>4095000</x:v>
      </x:c>
      <x:c r="C38" s="28" t="s">
        <x:v>120</x:v>
      </x:c>
    </x:row>
    <x:row r="39">
      <x:c r="A39" s="31" t="s">
        <x:v>148</x:v>
      </x:c>
      <x:c r="B39" s="136" t="n">
        <x:v>20000</x:v>
      </x:c>
      <x:c r="C39" s="28" t="s">
        <x:v>120</x:v>
      </x:c>
    </x:row>
    <x:row r="40">
      <x:c r="A40" s="31" t="s">
        <x:v>149</x:v>
      </x:c>
      <x:c r="B40" s="136" t="n">
        <x:v>1800</x:v>
      </x:c>
      <x:c r="C40" s="28" t="s">
        <x:v>120</x:v>
      </x:c>
    </x:row>
  </x:sheetData>
  <x:mergeCells>
    <x:mergeCell ref="A1:C1"/>
    <x:mergeCell ref="A2:C2"/>
  </x:mergeCells>
  <x:conditionalFormatting sqref="B4:B40">
    <x:cfRule type="expression" dxfId="3" priority="2">
      <x:formula>AND(LEN($A4)&gt;0,ISNUMBER(SEARCH("✱",$A4)),LEN(TRIM($B4))=0)</x:formula>
    </x:cfRule>
  </x:conditionalFormatting>
  <x:dataValidations count="6">
    <x:dataValidation type="list" allowBlank="1" errorTitle="Not on the list" error="Choose one of the listed options, or leave the cell blank." promptTitle="Select an option" prompt="Commercial investment / Industrial investment / Owner-occupied commercial / Owner-occupied industrial / Mixed use / Development or construction / Refinance / Equity release / Purchase plus fit-out / Lease-doc / low-doc" sqref="B4">
      <x:formula1>"Commercial investment,Industrial investment,Owner-occupied commercial,Owner-occupied industrial,Mixed use,Development or construction,Refinance,Equity release,Purchase plus fit-out,Lease-doc / low-doc"</x:formula1>
      <x:formula2>0</x:formula2>
    </x:dataValidation>
    <x:dataValidation type="list" allowBlank="1" errorTitle="Not on the list" error="Choose one of the listed options, or leave the cell blank." promptTitle="Select an option" prompt="NSW / VIC / QLD / WA / SA / TAS / ACT / NT" sqref="B7">
      <x:formula1>"NSW,VIC,QLD,WA,SA,TAS,ACT,NT"</x:formula1>
      <x:formula2>0</x:formula2>
    </x:dataValidation>
    <x:dataValidation type="list" allowBlank="1" errorTitle="Not on the list" error="Choose one of the listed options, or leave the cell blank." promptTitle="Select an option" prompt="Commercial / Industrial / Mixed use / Land / Specialised" sqref="B9">
      <x:formula1>"Commercial,Industrial,Mixed use,Land,Specialised"</x:formula1>
      <x:formula2>0</x:formula2>
    </x:dataValidation>
    <x:dataValidation type="list" allowBlank="1" errorTitle="Not on the list" error="Choose one of the listed options, or leave the cell blank." promptTitle="Select an option" prompt="Office / Retail / Warehouse / Logistics / Manufacturing / Cold storage / Medical / Childcare / Hospitality / Showroom / Transport yard / Data centre / Mixed use / Other" sqref="B10">
      <x:formula1>"Office,Retail,Warehouse,Logistics,Manufacturing,Cold storage,Medical,Childcare,Hospitality,Showroom,Transport yard,Data centre,Mixed use,Other"</x:formula1>
      <x:formula2>0</x:formula2>
    </x:dataValidation>
    <x:dataValidation type="list" allowBlank="1" errorTitle="Not on the list" error="Choose one of the listed options, or leave the cell blank." promptTitle="Select an option" prompt="Going concern (GST-free) / Margin scheme / Plus GST / GST inclusive in price / Input taxed / Not yet determined" sqref="B17">
      <x:formula1>"Going concern (GST-free),Margin scheme,Plus GST,GST inclusive in price,Input taxed,Not yet determined"</x:formula1>
      <x:formula2>0</x:formula2>
    </x:dataValidation>
    <x:dataValidation type="list" allowBlank="1" errorTitle="Not on the list" error="Choose one of the listed options, or leave the cell blank." promptTitle="Select an option" prompt="Principal and interest / Interest only / Residual / balloon" sqref="B34">
      <x:formula1>"Principal and interest,Interest only,Residual / balloon"</x:formula1>
      <x:formula2>0</x:formula2>
    </x:dataValidation>
  </x:dataValidations>
  <x:pageMargins left="0.7" right="0.7" top="0.75" bottom="0.75" header="0.3" footer="0.3"/>
</x:worksheet>
</file>

<file path=xl/worksheets/sheet4.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62" customWidth="1"/>
    <x:col min="2" max="2" width="30" customWidth="1"/>
    <x:col min="3" max="3" width="58" customWidth="1"/>
  </x:cols>
  <x:sheetData>
    <x:row r="1" ht="21.75" customHeight="1">
      <x:c r="A1" s="2" t="s">
        <x:v>150</x:v>
      </x:c>
      <x:c r="B1" s="2"/>
      <x:c r="C1" s="2"/>
    </x:row>
    <x:row r="2" ht="25.5" customHeight="1">
      <x:c r="A2" s="3" t="s">
        <x:v>151</x:v>
      </x:c>
      <x:c r="B2" s="3"/>
      <x:c r="C2" s="3"/>
    </x:row>
    <x:row r="3" ht="19.5" customHeight="1">
      <x:c r="A3" s="25" t="s">
        <x:v>102</x:v>
      </x:c>
      <x:c r="B3" s="25" t="s">
        <x:v>103</x:v>
      </x:c>
      <x:c r="C3" s="25" t="s">
        <x:v>104</x:v>
      </x:c>
    </x:row>
    <x:row r="4" ht="24">
      <x:c r="A4" s="26" t="s">
        <x:v>152</x:v>
      </x:c>
      <x:c r="B4" s="135" t="str">
        <x:v>Acquire a fully leased multi-tenanted industrial logistics facility as a long-term income-producing investment. Funds will cover the purchase, acquisition costs, minor landlord works and an operating contingency. The facility is not for personal, domestic or household purposes.</x:v>
      </x:c>
      <x:c r="C4" s="28" t="s">
        <x:v>153</x:v>
      </x:c>
    </x:row>
    <x:row r="5" ht="26">
      <x:c r="A5" s="26" t="s">
        <x:v>154</x:v>
      </x:c>
      <x:c r="B5" s="134" t="str">
        <x:v>Yes</x:v>
      </x:c>
      <x:c r="C5" s="28" t="s">
        <x:v>155</x:v>
      </x:c>
    </x:row>
    <x:row r="6">
      <x:c r="A6" s="26" t="s">
        <x:v>156</x:v>
      </x:c>
      <x:c r="B6" s="134" t="str">
        <x:v>No</x:v>
      </x:c>
      <x:c r="C6" s="28" t="s">
        <x:v>157</x:v>
      </x:c>
    </x:row>
  </x:sheetData>
  <x:mergeCells>
    <x:mergeCell ref="A1:C1"/>
    <x:mergeCell ref="A2:C2"/>
  </x:mergeCells>
  <x:conditionalFormatting sqref="B4:B6">
    <x:cfRule type="expression" dxfId="2" priority="2">
      <x:formula>AND(LEN($A4)&gt;0,ISNUMBER(SEARCH("✱",$A4)),LEN(TRIM($B4))=0)</x:formula>
    </x:cfRule>
  </x:conditionalFormatting>
  <x:dataValidations count="1">
    <x:dataValidation type="list" allowBlank="1" errorTitle="Not on the list" error="Choose one of the listed options, or leave the cell blank." promptTitle="Select an option" prompt="Yes / No / Not yet known" sqref="B5:B6">
      <x:formula1>"Yes,No,Not yet known"</x:formula1>
      <x:formula2>0</x:formula2>
    </x:dataValidation>
  </x:dataValidations>
  <x:pageMargins left="0.7" right="0.7" top="0.75" bottom="0.75" header="0.3" footer="0.3"/>
</x:worksheet>
</file>

<file path=xl/worksheets/sheet5.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30" customWidth="1"/>
    <x:col min="2" max="2" width="22" customWidth="1"/>
    <x:col min="3" max="3" width="26" customWidth="1"/>
    <x:col min="4" max="4" width="12" customWidth="1"/>
    <x:col min="5" max="7" width="26" customWidth="1"/>
    <x:col min="8" max="8" width="22" customWidth="1"/>
    <x:col min="9" max="9" width="26" customWidth="1"/>
    <x:col min="10" max="10" width="12" customWidth="1"/>
    <x:col min="11" max="11" width="26" customWidth="1"/>
    <x:col min="12" max="13" width="22" customWidth="1"/>
    <x:col min="14" max="14" width="30" customWidth="1"/>
  </x:cols>
  <x:sheetData>
    <x:row r="1" ht="21.75" customHeight="1">
      <x:c r="A1" s="2" t="s">
        <x:v>158</x:v>
      </x:c>
      <x:c r="B1" s="2"/>
      <x:c r="C1" s="2"/>
      <x:c r="D1" s="2"/>
      <x:c r="E1" s="2"/>
      <x:c r="F1" s="2"/>
      <x:c r="G1" s="2"/>
      <x:c r="H1" s="2"/>
      <x:c r="I1" s="2"/>
      <x:c r="J1" s="2"/>
      <x:c r="K1" s="2"/>
      <x:c r="L1" s="2"/>
      <x:c r="M1" s="2"/>
      <x:c r="N1" s="2"/>
    </x:row>
    <x:row r="2" ht="25.5" customHeight="1">
      <x:c r="A2" s="3" t="s">
        <x:v>159</x:v>
      </x:c>
      <x:c r="B2" s="3"/>
      <x:c r="C2" s="3"/>
      <x:c r="D2" s="3"/>
      <x:c r="E2" s="3"/>
      <x:c r="F2" s="3"/>
      <x:c r="G2" s="3"/>
      <x:c r="H2" s="3"/>
      <x:c r="I2" s="3"/>
      <x:c r="J2" s="3"/>
      <x:c r="K2" s="3"/>
      <x:c r="L2" s="3"/>
      <x:c r="M2" s="3"/>
      <x:c r="N2" s="3"/>
    </x:row>
    <x:row r="3" ht="30" customHeight="1">
      <x:c r="A3" s="25" t="s">
        <x:v>160</x:v>
      </x:c>
      <x:c r="B3" s="25" t="s">
        <x:v>161</x:v>
      </x:c>
      <x:c r="C3" s="25" t="s">
        <x:v>162</x:v>
      </x:c>
      <x:c r="D3" s="25" t="s">
        <x:v>163</x:v>
      </x:c>
      <x:c r="E3" s="25" t="s">
        <x:v>164</x:v>
      </x:c>
      <x:c r="F3" s="25" t="s">
        <x:v>165</x:v>
      </x:c>
      <x:c r="G3" s="25" t="s">
        <x:v>166</x:v>
      </x:c>
      <x:c r="H3" s="25" t="s">
        <x:v>167</x:v>
      </x:c>
      <x:c r="I3" s="25" t="s">
        <x:v>168</x:v>
      </x:c>
      <x:c r="J3" s="25" t="s">
        <x:v>169</x:v>
      </x:c>
      <x:c r="K3" s="25" t="s">
        <x:v>170</x:v>
      </x:c>
      <x:c r="L3" s="25" t="s">
        <x:v>171</x:v>
      </x:c>
      <x:c r="M3" s="25" t="s">
        <x:v>172</x:v>
      </x:c>
      <x:c r="N3" s="25" t="s">
        <x:v>173</x:v>
      </x:c>
    </x:row>
    <x:row r="4" ht="16.5" customHeight="1">
      <x:c r="A4" s="148" t="str">
        <x:v>Asteron Industrial Holdings Pty Ltd ATF Asteron Industrial Property Trust</x:v>
      </x:c>
      <x:c r="B4" s="149" t="str">
        <x:v>Trust</x:v>
      </x:c>
      <x:c r="C4" s="148" t="str">
        <x:v>25 689 472 311 / ACN 689 472 311</x:v>
      </x:c>
      <x:c r="D4" s="164" t="n">
        <x:v>100</x:v>
      </x:c>
      <x:c r="E4" s="148" t="str">
        <x:v>Olivia Bennett; Daniel Wu</x:v>
      </x:c>
      <x:c r="F4" s="148" t="str">
        <x:v>Asteron Industrial Holdings Pty Ltd</x:v>
      </x:c>
      <x:c r="G4" s="148" t="str">
        <x:v>Olivia Bennett Family Trust (60%); Daniel Wu Family Trust (40%)</x:v>
      </x:c>
      <x:c r="H4" s="149" t="str">
        <x:v>Yes</x:v>
      </x:c>
      <x:c r="I4" s="148" t="str">
        <x:v>Asteron Distribution Services Pty Ltd</x:v>
      </x:c>
      <x:c r="J4" s="151" t="n">
        <x:v>6</x:v>
      </x:c>
      <x:c r="K4" s="148" t="str">
        <x:v>Industrial property investment</x:v>
      </x:c>
      <x:c r="L4" s="149" t="str">
        <x:v>Australian citizen</x:v>
      </x:c>
      <x:c r="M4" s="149" t="str">
        <x:v>Australian tax resident</x:v>
      </x:c>
      <x:c r="N4" s="148" t="str">
        <x:v>Olivia Bennett (60%) and Daniel Wu (40%) through their respective family trusts</x:v>
      </x:c>
    </x:row>
    <x:row r="5" ht="16.5" customHeight="1">
      <x:c r="A5" s="152" t="str">
        <x:v>Asteron Distribution Services Pty Ltd</x:v>
      </x:c>
      <x:c r="B5" s="153" t="str">
        <x:v>Company</x:v>
      </x:c>
      <x:c r="C5" s="152" t="str">
        <x:v>69 731 845 622 / ACN 731 845 622</x:v>
      </x:c>
      <x:c r="D5" s="165" t="n">
        <x:v>0</x:v>
      </x:c>
      <x:c r="E5" s="152" t="str">
        <x:v>Olivia Bennett; Daniel Wu</x:v>
      </x:c>
      <x:c r="F5" s="152" t="str">
        <x:v>Not applicable</x:v>
      </x:c>
      <x:c r="G5" s="152" t="str">
        <x:v>Not applicable</x:v>
      </x:c>
      <x:c r="H5" s="153" t="str">
        <x:v>Yes</x:v>
      </x:c>
      <x:c r="I5" s="152" t="str">
        <x:v>Asteron Industrial Property Trust</x:v>
      </x:c>
      <x:c r="J5" s="155" t="n">
        <x:v>11</x:v>
      </x:c>
      <x:c r="K5" s="152" t="str">
        <x:v>Third-party logistics and warehousing</x:v>
      </x:c>
      <x:c r="L5" s="153" t="str">
        <x:v>Australian citizen</x:v>
      </x:c>
      <x:c r="M5" s="153" t="str">
        <x:v>Australian tax resident</x:v>
      </x:c>
      <x:c r="N5" s="152" t="str">
        <x:v>Olivia Bennett (60%); Daniel Wu (40%)</x:v>
      </x:c>
    </x:row>
    <x:row r="6" ht="16.5" customHeight="1">
      <x:c r="A6" s="36"/>
      <x:c r="B6" s="37"/>
      <x:c r="C6" s="36"/>
      <x:c r="D6" s="38"/>
      <x:c r="E6" s="36"/>
      <x:c r="F6" s="36"/>
      <x:c r="G6" s="36"/>
      <x:c r="H6" s="37"/>
      <x:c r="I6" s="36"/>
      <x:c r="J6" s="39"/>
      <x:c r="K6" s="36"/>
      <x:c r="L6" s="37"/>
      <x:c r="M6" s="37"/>
      <x:c r="N6" s="36"/>
    </x:row>
    <x:row r="7" ht="16.5" customHeight="1">
      <x:c r="A7" s="40"/>
      <x:c r="B7" s="41"/>
      <x:c r="C7" s="40"/>
      <x:c r="D7" s="42"/>
      <x:c r="E7" s="40"/>
      <x:c r="F7" s="40"/>
      <x:c r="G7" s="40"/>
      <x:c r="H7" s="41"/>
      <x:c r="I7" s="40"/>
      <x:c r="J7" s="43"/>
      <x:c r="K7" s="40"/>
      <x:c r="L7" s="41"/>
      <x:c r="M7" s="41"/>
      <x:c r="N7" s="40"/>
    </x:row>
    <x:row r="8" ht="16.5" customHeight="1">
      <x:c r="A8" s="36"/>
      <x:c r="B8" s="37"/>
      <x:c r="C8" s="36"/>
      <x:c r="D8" s="38"/>
      <x:c r="E8" s="36"/>
      <x:c r="F8" s="36"/>
      <x:c r="G8" s="36"/>
      <x:c r="H8" s="37"/>
      <x:c r="I8" s="36"/>
      <x:c r="J8" s="39"/>
      <x:c r="K8" s="36"/>
      <x:c r="L8" s="37"/>
      <x:c r="M8" s="37"/>
      <x:c r="N8" s="36"/>
    </x:row>
    <x:row r="9" ht="16.5" customHeight="1">
      <x:c r="A9" s="40"/>
      <x:c r="B9" s="41"/>
      <x:c r="C9" s="40"/>
      <x:c r="D9" s="42"/>
      <x:c r="E9" s="40"/>
      <x:c r="F9" s="40"/>
      <x:c r="G9" s="40"/>
      <x:c r="H9" s="41"/>
      <x:c r="I9" s="40"/>
      <x:c r="J9" s="43"/>
      <x:c r="K9" s="40"/>
      <x:c r="L9" s="41"/>
      <x:c r="M9" s="41"/>
      <x:c r="N9" s="40"/>
    </x:row>
    <x:row r="10" ht="16.5" customHeight="1">
      <x:c r="A10" s="36"/>
      <x:c r="B10" s="37"/>
      <x:c r="C10" s="36"/>
      <x:c r="D10" s="38"/>
      <x:c r="E10" s="36"/>
      <x:c r="F10" s="36"/>
      <x:c r="G10" s="36"/>
      <x:c r="H10" s="37"/>
      <x:c r="I10" s="36"/>
      <x:c r="J10" s="39"/>
      <x:c r="K10" s="36"/>
      <x:c r="L10" s="37"/>
      <x:c r="M10" s="37"/>
      <x:c r="N10" s="36"/>
    </x:row>
    <x:row r="11" ht="16.5" customHeight="1">
      <x:c r="A11" s="40"/>
      <x:c r="B11" s="41"/>
      <x:c r="C11" s="40"/>
      <x:c r="D11" s="42"/>
      <x:c r="E11" s="40"/>
      <x:c r="F11" s="40"/>
      <x:c r="G11" s="40"/>
      <x:c r="H11" s="41"/>
      <x:c r="I11" s="40"/>
      <x:c r="J11" s="43"/>
      <x:c r="K11" s="40"/>
      <x:c r="L11" s="41"/>
      <x:c r="M11" s="41"/>
      <x:c r="N11" s="40"/>
    </x:row>
    <x:row r="12" ht="16.5" customHeight="1">
      <x:c r="A12" s="36"/>
      <x:c r="B12" s="37"/>
      <x:c r="C12" s="36"/>
      <x:c r="D12" s="38"/>
      <x:c r="E12" s="36"/>
      <x:c r="F12" s="36"/>
      <x:c r="G12" s="36"/>
      <x:c r="H12" s="37"/>
      <x:c r="I12" s="36"/>
      <x:c r="J12" s="39"/>
      <x:c r="K12" s="36"/>
      <x:c r="L12" s="37"/>
      <x:c r="M12" s="37"/>
      <x:c r="N12" s="36"/>
    </x:row>
    <x:row r="13" ht="16.5" customHeight="1">
      <x:c r="A13" s="40"/>
      <x:c r="B13" s="41"/>
      <x:c r="C13" s="40"/>
      <x:c r="D13" s="42"/>
      <x:c r="E13" s="40"/>
      <x:c r="F13" s="40"/>
      <x:c r="G13" s="40"/>
      <x:c r="H13" s="41"/>
      <x:c r="I13" s="40"/>
      <x:c r="J13" s="43"/>
      <x:c r="K13" s="40"/>
      <x:c r="L13" s="41"/>
      <x:c r="M13" s="41"/>
      <x:c r="N13" s="40"/>
    </x:row>
    <x:row r="14" ht="16.5" customHeight="1">
      <x:c r="A14" s="36"/>
      <x:c r="B14" s="37"/>
      <x:c r="C14" s="36"/>
      <x:c r="D14" s="38"/>
      <x:c r="E14" s="36"/>
      <x:c r="F14" s="36"/>
      <x:c r="G14" s="36"/>
      <x:c r="H14" s="37"/>
      <x:c r="I14" s="36"/>
      <x:c r="J14" s="39"/>
      <x:c r="K14" s="36"/>
      <x:c r="L14" s="37"/>
      <x:c r="M14" s="37"/>
      <x:c r="N14" s="36"/>
    </x:row>
    <x:row r="15" ht="16.5" customHeight="1">
      <x:c r="A15" s="40"/>
      <x:c r="B15" s="41"/>
      <x:c r="C15" s="40"/>
      <x:c r="D15" s="42"/>
      <x:c r="E15" s="40"/>
      <x:c r="F15" s="40"/>
      <x:c r="G15" s="40"/>
      <x:c r="H15" s="41"/>
      <x:c r="I15" s="40"/>
      <x:c r="J15" s="43"/>
      <x:c r="K15" s="40"/>
      <x:c r="L15" s="41"/>
      <x:c r="M15" s="41"/>
      <x:c r="N15" s="40"/>
    </x:row>
    <x:row r="16" ht="16.5" customHeight="1">
      <x:c r="A16" s="36"/>
      <x:c r="B16" s="37"/>
      <x:c r="C16" s="36"/>
      <x:c r="D16" s="38"/>
      <x:c r="E16" s="36"/>
      <x:c r="F16" s="36"/>
      <x:c r="G16" s="36"/>
      <x:c r="H16" s="37"/>
      <x:c r="I16" s="36"/>
      <x:c r="J16" s="39"/>
      <x:c r="K16" s="36"/>
      <x:c r="L16" s="37"/>
      <x:c r="M16" s="37"/>
      <x:c r="N16" s="36"/>
    </x:row>
    <x:row r="17" ht="16.5" customHeight="1">
      <x:c r="A17" s="40"/>
      <x:c r="B17" s="41"/>
      <x:c r="C17" s="40"/>
      <x:c r="D17" s="42"/>
      <x:c r="E17" s="40"/>
      <x:c r="F17" s="40"/>
      <x:c r="G17" s="40"/>
      <x:c r="H17" s="41"/>
      <x:c r="I17" s="40"/>
      <x:c r="J17" s="43"/>
      <x:c r="K17" s="40"/>
      <x:c r="L17" s="41"/>
      <x:c r="M17" s="41"/>
      <x:c r="N17" s="40"/>
    </x:row>
    <x:row r="19">
      <x:c r="A19" s="6" t="s">
        <x:v>174</x:v>
      </x:c>
    </x:row>
    <x:row r="20">
      <x:c r="A20" s="44" t="s">
        <x:v>175</x:v>
      </x:c>
    </x:row>
    <x:row r="21">
      <x:c r="A21" s="44" t="s">
        <x:v>176</x:v>
      </x:c>
    </x:row>
    <x:row r="22">
      <x:c r="A22" s="45" t="s">
        <x:v>177</x:v>
      </x:c>
    </x:row>
  </x:sheetData>
  <x:mergeCells>
    <x:mergeCell ref="A1:N1"/>
    <x:mergeCell ref="A2:N2"/>
  </x:mergeCells>
  <x:dataValidations count="4">
    <x:dataValidation type="list" allowBlank="1" errorTitle="Not on the list" error="Choose one of the listed options, or leave the cell blank." promptTitle="Select an option" prompt="Individual / Joint individuals / Company / Trust / Corporate trustee / Partnership / SMSF / Special-purpose vehicle" sqref="B4:B17">
      <x:formula1>"Individual,Joint individuals,Company,Trust,Corporate trustee,Partnership,SMSF,Special-purpose vehicle"</x:formula1>
      <x:formula2>0</x:formula2>
    </x:dataValidation>
    <x:dataValidation type="list" allowBlank="1" errorTitle="Not on the list" error="Choose one of the listed options, or leave the cell blank." promptTitle="Select an option" prompt="Yes / No" sqref="H4:H17">
      <x:formula1>"Yes,No"</x:formula1>
      <x:formula2>0</x:formula2>
    </x:dataValidation>
    <x:dataValidation type="list" allowBlank="1" errorTitle="Not on the list" error="Choose one of the listed options, or leave the cell blank." promptTitle="Select an option" prompt="Australian citizen / Permanent resident / Foreign resident" sqref="L4:L17">
      <x:formula1>"Australian citizen,Permanent resident,Foreign resident"</x:formula1>
      <x:formula2>0</x:formula2>
    </x:dataValidation>
    <x:dataValidation type="list" allowBlank="1" errorTitle="Not on the list" error="Choose one of the listed options, or leave the cell blank." promptTitle="Select an option" prompt="Australian tax resident / Foreign tax resident / Not yet confirmed" sqref="M4:M17">
      <x:formula1>"Australian tax resident,Foreign tax resident,Not yet confirmed"</x:formula1>
      <x:formula2>0</x:formula2>
    </x:dataValidation>
  </x:dataValidations>
  <x:pageMargins left="0.7" right="0.7" top="0.75" bottom="0.75" header="0.3" footer="0.3"/>
</x:worksheet>
</file>

<file path=xl/worksheets/sheet6.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26" customWidth="1"/>
    <x:col min="2" max="2" width="13" customWidth="1"/>
    <x:col min="3" max="4" width="22" customWidth="1"/>
    <x:col min="5" max="16" width="15" customWidth="1"/>
  </x:cols>
  <x:sheetData>
    <x:row r="1" ht="21.75" customHeight="1">
      <x:c r="A1" s="2" t="s">
        <x:v>178</x:v>
      </x:c>
      <x:c r="B1" s="2"/>
      <x:c r="C1" s="2"/>
      <x:c r="D1" s="2"/>
      <x:c r="E1" s="2"/>
      <x:c r="F1" s="2"/>
      <x:c r="G1" s="2"/>
      <x:c r="H1" s="2"/>
      <x:c r="I1" s="2"/>
      <x:c r="J1" s="2"/>
      <x:c r="K1" s="2"/>
      <x:c r="L1" s="2"/>
      <x:c r="M1" s="2"/>
      <x:c r="N1" s="2"/>
      <x:c r="O1" s="2"/>
      <x:c r="P1" s="2"/>
    </x:row>
    <x:row r="2" ht="25.5" customHeight="1">
      <x:c r="A2" s="3" t="s">
        <x:v>179</x:v>
      </x:c>
      <x:c r="B2" s="3"/>
      <x:c r="C2" s="3"/>
      <x:c r="D2" s="3"/>
      <x:c r="E2" s="3"/>
      <x:c r="F2" s="3"/>
      <x:c r="G2" s="3"/>
      <x:c r="H2" s="3"/>
      <x:c r="I2" s="3"/>
      <x:c r="J2" s="3"/>
      <x:c r="K2" s="3"/>
      <x:c r="L2" s="3"/>
      <x:c r="M2" s="3"/>
      <x:c r="N2" s="3"/>
      <x:c r="O2" s="3"/>
      <x:c r="P2" s="3"/>
    </x:row>
    <x:row r="3" ht="30" customHeight="1">
      <x:c r="A3" s="25" t="s">
        <x:v>180</x:v>
      </x:c>
      <x:c r="B3" s="25" t="s">
        <x:v>181</x:v>
      </x:c>
      <x:c r="C3" s="25" t="s">
        <x:v>182</x:v>
      </x:c>
      <x:c r="D3" s="25" t="s">
        <x:v>183</x:v>
      </x:c>
      <x:c r="E3" s="25" t="s">
        <x:v>184</x:v>
      </x:c>
      <x:c r="F3" s="25" t="s">
        <x:v>185</x:v>
      </x:c>
      <x:c r="G3" s="25" t="s">
        <x:v>186</x:v>
      </x:c>
      <x:c r="H3" s="25" t="s">
        <x:v>187</x:v>
      </x:c>
      <x:c r="I3" s="25" t="s">
        <x:v>188</x:v>
      </x:c>
      <x:c r="J3" s="25" t="s">
        <x:v>189</x:v>
      </x:c>
      <x:c r="K3" s="25" t="s">
        <x:v>190</x:v>
      </x:c>
      <x:c r="L3" s="25" t="s">
        <x:v>191</x:v>
      </x:c>
      <x:c r="M3" s="25" t="s">
        <x:v>192</x:v>
      </x:c>
      <x:c r="N3" s="25" t="s">
        <x:v>193</x:v>
      </x:c>
      <x:c r="O3" s="25" t="s">
        <x:v>194</x:v>
      </x:c>
      <x:c r="P3" s="25" t="s">
        <x:v>195</x:v>
      </x:c>
    </x:row>
    <x:row r="4" ht="16.5" customHeight="1">
      <x:c r="A4" s="148" t="str">
        <x:v>FY2025</x:v>
      </x:c>
      <x:c r="B4" s="172" t="n">
        <x:v>45838</x:v>
      </x:c>
      <x:c r="C4" s="149" t="str">
        <x:v>Accountant-prepared financial statements</x:v>
      </x:c>
      <x:c r="D4" s="149" t="str">
        <x:v>Verified</x:v>
      </x:c>
      <x:c r="E4" s="173" t="n">
        <x:v>0</x:v>
      </x:c>
      <x:c r="F4" s="173" t="n">
        <x:v>8950000</x:v>
      </x:c>
      <x:c r="G4" s="173" t="n">
        <x:v>1145000</x:v>
      </x:c>
      <x:c r="H4" s="173" t="n">
        <x:v>612000</x:v>
      </x:c>
      <x:c r="I4" s="173" t="n">
        <x:v>185000</x:v>
      </x:c>
      <x:c r="J4" s="173" t="n">
        <x:v>98000</x:v>
      </x:c>
      <x:c r="K4" s="173" t="n">
        <x:v>240000</x:v>
      </x:c>
      <x:c r="L4" s="173" t="n">
        <x:v>0</x:v>
      </x:c>
      <x:c r="M4" s="173" t="n">
        <x:v>120000</x:v>
      </x:c>
      <x:c r="N4" s="173" t="n">
        <x:v>156000</x:v>
      </x:c>
      <x:c r="O4" s="173" t="n">
        <x:v>45000</x:v>
      </x:c>
      <x:c r="P4" s="173" t="n">
        <x:v>35000</x:v>
      </x:c>
    </x:row>
    <x:row r="5" ht="16.5" customHeight="1">
      <x:c r="A5" s="152" t="str">
        <x:v>FY2024</x:v>
      </x:c>
      <x:c r="B5" s="174" t="n">
        <x:v>45473</x:v>
      </x:c>
      <x:c r="C5" s="153" t="str">
        <x:v>Accountant-prepared financial statements</x:v>
      </x:c>
      <x:c r="D5" s="153" t="str">
        <x:v>Verified</x:v>
      </x:c>
      <x:c r="E5" s="175" t="n">
        <x:v>0</x:v>
      </x:c>
      <x:c r="F5" s="175" t="n">
        <x:v>8100000</x:v>
      </x:c>
      <x:c r="G5" s="175" t="n">
        <x:v>975000</x:v>
      </x:c>
      <x:c r="H5" s="175" t="n">
        <x:v>488000</x:v>
      </x:c>
      <x:c r="I5" s="175" t="n">
        <x:v>170000</x:v>
      </x:c>
      <x:c r="J5" s="175" t="n">
        <x:v>112000</x:v>
      </x:c>
      <x:c r="K5" s="175" t="n">
        <x:v>220000</x:v>
      </x:c>
      <x:c r="L5" s="175" t="n">
        <x:v>0</x:v>
      </x:c>
      <x:c r="M5" s="175" t="n">
        <x:v>80000</x:v>
      </x:c>
      <x:c r="N5" s="175" t="n">
        <x:v>150000</x:v>
      </x:c>
      <x:c r="O5" s="175" t="n">
        <x:v>38000</x:v>
      </x:c>
      <x:c r="P5" s="175" t="n">
        <x:v>0</x:v>
      </x:c>
    </x:row>
    <x:row r="6" ht="16.5" customHeight="1">
      <x:c r="A6" s="36"/>
      <x:c r="B6" s="46"/>
      <x:c r="C6" s="37"/>
      <x:c r="D6" s="37"/>
      <x:c r="E6" s="47"/>
      <x:c r="F6" s="47"/>
      <x:c r="G6" s="47"/>
      <x:c r="H6" s="47"/>
      <x:c r="I6" s="47"/>
      <x:c r="J6" s="47"/>
      <x:c r="K6" s="47"/>
      <x:c r="L6" s="47"/>
      <x:c r="M6" s="47"/>
      <x:c r="N6" s="47"/>
      <x:c r="O6" s="47"/>
      <x:c r="P6" s="47"/>
    </x:row>
    <x:row r="7" ht="16.5" customHeight="1">
      <x:c r="A7" s="40"/>
      <x:c r="B7" s="48"/>
      <x:c r="C7" s="41"/>
      <x:c r="D7" s="41"/>
      <x:c r="E7" s="49"/>
      <x:c r="F7" s="49"/>
      <x:c r="G7" s="49"/>
      <x:c r="H7" s="49"/>
      <x:c r="I7" s="49"/>
      <x:c r="J7" s="49"/>
      <x:c r="K7" s="49"/>
      <x:c r="L7" s="49"/>
      <x:c r="M7" s="49"/>
      <x:c r="N7" s="49"/>
      <x:c r="O7" s="49"/>
      <x:c r="P7" s="49"/>
    </x:row>
    <x:row r="8" ht="16.5" customHeight="1">
      <x:c r="A8" s="36"/>
      <x:c r="B8" s="46"/>
      <x:c r="C8" s="37"/>
      <x:c r="D8" s="37"/>
      <x:c r="E8" s="47"/>
      <x:c r="F8" s="47"/>
      <x:c r="G8" s="47"/>
      <x:c r="H8" s="47"/>
      <x:c r="I8" s="47"/>
      <x:c r="J8" s="47"/>
      <x:c r="K8" s="47"/>
      <x:c r="L8" s="47"/>
      <x:c r="M8" s="47"/>
      <x:c r="N8" s="47"/>
      <x:c r="O8" s="47"/>
      <x:c r="P8" s="47"/>
    </x:row>
    <x:row r="9" ht="16.5" customHeight="1">
      <x:c r="A9" s="40"/>
      <x:c r="B9" s="48"/>
      <x:c r="C9" s="41"/>
      <x:c r="D9" s="41"/>
      <x:c r="E9" s="49"/>
      <x:c r="F9" s="49"/>
      <x:c r="G9" s="49"/>
      <x:c r="H9" s="49"/>
      <x:c r="I9" s="49"/>
      <x:c r="J9" s="49"/>
      <x:c r="K9" s="49"/>
      <x:c r="L9" s="49"/>
      <x:c r="M9" s="49"/>
      <x:c r="N9" s="49"/>
      <x:c r="O9" s="49"/>
      <x:c r="P9" s="49"/>
    </x:row>
    <x:row r="10" ht="16.5" customHeight="1">
      <x:c r="A10" s="36"/>
      <x:c r="B10" s="46"/>
      <x:c r="C10" s="37"/>
      <x:c r="D10" s="37"/>
      <x:c r="E10" s="47"/>
      <x:c r="F10" s="47"/>
      <x:c r="G10" s="47"/>
      <x:c r="H10" s="47"/>
      <x:c r="I10" s="47"/>
      <x:c r="J10" s="47"/>
      <x:c r="K10" s="47"/>
      <x:c r="L10" s="47"/>
      <x:c r="M10" s="47"/>
      <x:c r="N10" s="47"/>
      <x:c r="O10" s="47"/>
      <x:c r="P10" s="47"/>
    </x:row>
    <x:row r="11" ht="16.5" customHeight="1">
      <x:c r="A11" s="40"/>
      <x:c r="B11" s="48"/>
      <x:c r="C11" s="41"/>
      <x:c r="D11" s="41"/>
      <x:c r="E11" s="49"/>
      <x:c r="F11" s="49"/>
      <x:c r="G11" s="49"/>
      <x:c r="H11" s="49"/>
      <x:c r="I11" s="49"/>
      <x:c r="J11" s="49"/>
      <x:c r="K11" s="49"/>
      <x:c r="L11" s="49"/>
      <x:c r="M11" s="49"/>
      <x:c r="N11" s="49"/>
      <x:c r="O11" s="49"/>
      <x:c r="P11" s="49"/>
    </x:row>
    <x:row r="12" ht="16.5" customHeight="1">
      <x:c r="A12" s="36"/>
      <x:c r="B12" s="46"/>
      <x:c r="C12" s="37"/>
      <x:c r="D12" s="37"/>
      <x:c r="E12" s="47"/>
      <x:c r="F12" s="47"/>
      <x:c r="G12" s="47"/>
      <x:c r="H12" s="47"/>
      <x:c r="I12" s="47"/>
      <x:c r="J12" s="47"/>
      <x:c r="K12" s="47"/>
      <x:c r="L12" s="47"/>
      <x:c r="M12" s="47"/>
      <x:c r="N12" s="47"/>
      <x:c r="O12" s="47"/>
      <x:c r="P12" s="47"/>
    </x:row>
    <x:row r="13" ht="16.5" customHeight="1">
      <x:c r="A13" s="40"/>
      <x:c r="B13" s="48"/>
      <x:c r="C13" s="41"/>
      <x:c r="D13" s="41"/>
      <x:c r="E13" s="49"/>
      <x:c r="F13" s="49"/>
      <x:c r="G13" s="49"/>
      <x:c r="H13" s="49"/>
      <x:c r="I13" s="49"/>
      <x:c r="J13" s="49"/>
      <x:c r="K13" s="49"/>
      <x:c r="L13" s="49"/>
      <x:c r="M13" s="49"/>
      <x:c r="N13" s="49"/>
      <x:c r="O13" s="49"/>
      <x:c r="P13" s="49"/>
    </x:row>
    <x:row r="14" ht="16.5" customHeight="1">
      <x:c r="A14" s="36"/>
      <x:c r="B14" s="46"/>
      <x:c r="C14" s="37"/>
      <x:c r="D14" s="37"/>
      <x:c r="E14" s="47"/>
      <x:c r="F14" s="47"/>
      <x:c r="G14" s="47"/>
      <x:c r="H14" s="47"/>
      <x:c r="I14" s="47"/>
      <x:c r="J14" s="47"/>
      <x:c r="K14" s="47"/>
      <x:c r="L14" s="47"/>
      <x:c r="M14" s="47"/>
      <x:c r="N14" s="47"/>
      <x:c r="O14" s="47"/>
      <x:c r="P14" s="47"/>
    </x:row>
    <x:row r="15" ht="16.5" customHeight="1">
      <x:c r="A15" s="40"/>
      <x:c r="B15" s="48"/>
      <x:c r="C15" s="41"/>
      <x:c r="D15" s="41"/>
      <x:c r="E15" s="49"/>
      <x:c r="F15" s="49"/>
      <x:c r="G15" s="49"/>
      <x:c r="H15" s="49"/>
      <x:c r="I15" s="49"/>
      <x:c r="J15" s="49"/>
      <x:c r="K15" s="49"/>
      <x:c r="L15" s="49"/>
      <x:c r="M15" s="49"/>
      <x:c r="N15" s="49"/>
      <x:c r="O15" s="49"/>
      <x:c r="P15" s="49"/>
    </x:row>
    <x:row r="16" ht="16.5" customHeight="1">
      <x:c r="A16" s="36"/>
      <x:c r="B16" s="46"/>
      <x:c r="C16" s="37"/>
      <x:c r="D16" s="37"/>
      <x:c r="E16" s="47"/>
      <x:c r="F16" s="47"/>
      <x:c r="G16" s="47"/>
      <x:c r="H16" s="47"/>
      <x:c r="I16" s="47"/>
      <x:c r="J16" s="47"/>
      <x:c r="K16" s="47"/>
      <x:c r="L16" s="47"/>
      <x:c r="M16" s="47"/>
      <x:c r="N16" s="47"/>
      <x:c r="O16" s="47"/>
      <x:c r="P16" s="47"/>
    </x:row>
    <x:row r="17" ht="16.5" customHeight="1">
      <x:c r="A17" s="40"/>
      <x:c r="B17" s="48"/>
      <x:c r="C17" s="41"/>
      <x:c r="D17" s="41"/>
      <x:c r="E17" s="49"/>
      <x:c r="F17" s="49"/>
      <x:c r="G17" s="49"/>
      <x:c r="H17" s="49"/>
      <x:c r="I17" s="49"/>
      <x:c r="J17" s="49"/>
      <x:c r="K17" s="49"/>
      <x:c r="L17" s="49"/>
      <x:c r="M17" s="49"/>
      <x:c r="N17" s="49"/>
      <x:c r="O17" s="49"/>
      <x:c r="P17" s="49"/>
    </x:row>
    <x:row r="19">
      <x:c r="A19" s="6" t="s">
        <x:v>174</x:v>
      </x:c>
    </x:row>
    <x:row r="20">
      <x:c r="A20" s="44" t="s">
        <x:v>196</x:v>
      </x:c>
    </x:row>
    <x:row r="21">
      <x:c r="A21" s="45" t="s">
        <x:v>177</x:v>
      </x:c>
    </x:row>
  </x:sheetData>
  <x:mergeCells>
    <x:mergeCell ref="A1:P1"/>
    <x:mergeCell ref="A2:P2"/>
  </x:mergeCells>
  <x:dataValidations count="2">
    <x:dataValidation type="list" allowBlank="1" errorTitle="Not on the list" error="Choose one of the listed options, or leave the cell blank." promptTitle="Select an option" prompt="Accountant-prepared financial statements / Tax return / Notice of assessment / Management accounts / Year to date / Projection" sqref="C4:C17">
      <x:formula1>"Accountant-prepared financial statements,Tax return,Notice of assessment,Management accounts,Year to date,Projection"</x:formula1>
      <x:formula2>0</x:formula2>
    </x:dataValidation>
    <x:dataValidation type="list" allowBlank="1" errorTitle="Not on the list" error="Choose one of the listed options, or leave the cell blank." promptTitle="Select an option" prompt="Not verified / Documents held, not checked / Verified" sqref="D4:D17">
      <x:formula1>"Not verified,Documents held,not checked,Verified"</x:formula1>
      <x:formula2>0</x:formula2>
    </x:dataValidation>
  </x:dataValidations>
  <x:pageMargins left="0.7" right="0.7" top="0.75" bottom="0.75" header="0.3" footer="0.3"/>
</x:worksheet>
</file>

<file path=xl/worksheets/sheet7.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26" customWidth="1"/>
    <x:col min="2" max="2" width="22" customWidth="1"/>
    <x:col min="3" max="3" width="15" customWidth="1"/>
    <x:col min="4" max="4" width="30" customWidth="1"/>
    <x:col min="5" max="5" width="26" customWidth="1"/>
    <x:col min="6" max="6" width="22" customWidth="1"/>
  </x:cols>
  <x:sheetData>
    <x:row r="1" ht="21.75" customHeight="1">
      <x:c r="A1" s="2" t="s">
        <x:v>197</x:v>
      </x:c>
      <x:c r="B1" s="2"/>
      <x:c r="C1" s="2"/>
      <x:c r="D1" s="2"/>
      <x:c r="E1" s="2"/>
      <x:c r="F1" s="2"/>
    </x:row>
    <x:row r="2" ht="25.5" customHeight="1">
      <x:c r="A2" s="3" t="s">
        <x:v>198</x:v>
      </x:c>
      <x:c r="B2" s="3"/>
      <x:c r="C2" s="3"/>
      <x:c r="D2" s="3"/>
      <x:c r="E2" s="3"/>
      <x:c r="F2" s="3"/>
    </x:row>
    <x:row r="3" ht="30" customHeight="1">
      <x:c r="A3" s="25" t="s">
        <x:v>180</x:v>
      </x:c>
      <x:c r="B3" s="25" t="s">
        <x:v>199</x:v>
      </x:c>
      <x:c r="C3" s="25" t="s">
        <x:v>200</x:v>
      </x:c>
      <x:c r="D3" s="25" t="s">
        <x:v>201</x:v>
      </x:c>
      <x:c r="E3" s="25" t="s">
        <x:v>202</x:v>
      </x:c>
      <x:c r="F3" s="25" t="s">
        <x:v>203</x:v>
      </x:c>
    </x:row>
    <x:row r="4" ht="16.5" customHeight="1">
      <x:c r="A4" s="148" t="str">
        <x:v>FY2025</x:v>
      </x:c>
      <x:c r="B4" s="149" t="str">
        <x:v>Director remuneration</x:v>
      </x:c>
      <x:c r="C4" s="173" t="n">
        <x:v>80000</x:v>
      </x:c>
      <x:c r="D4" s="148" t="str">
        <x:v>Discretionary remuneration above the documented market replacement salary of $160,000.</x:v>
      </x:c>
      <x:c r="E4" s="148" t="str">
        <x:v>FY2025 financial statements; accountant add-back letter dated 25/07/2026</x:v>
      </x:c>
      <x:c r="F4" s="149" t="str">
        <x:v>Yes</x:v>
      </x:c>
    </x:row>
    <x:row r="5" ht="16.5" customHeight="1">
      <x:c r="A5" s="152" t="str">
        <x:v>FY2025</x:v>
      </x:c>
      <x:c r="B5" s="153" t="str">
        <x:v>One-off / non-recurring</x:v>
      </x:c>
      <x:c r="C5" s="175" t="n">
        <x:v>35000</x:v>
      </x:c>
      <x:c r="D5" s="152" t="str">
        <x:v>Non-recurring warehouse relocation and systems implementation consulting expense.</x:v>
      </x:c>
      <x:c r="E5" s="152" t="str">
        <x:v>FY2025 general ledger extract; accountant confirmation dated 25/07/2026</x:v>
      </x:c>
      <x:c r="F5" s="153" t="str">
        <x:v>Yes</x:v>
      </x:c>
    </x:row>
    <x:row r="6" ht="16.5" customHeight="1">
      <x:c r="A6" s="148" t="str">
        <x:v>FY2024</x:v>
      </x:c>
      <x:c r="B6" s="149" t="str">
        <x:v>Director remuneration</x:v>
      </x:c>
      <x:c r="C6" s="173" t="n">
        <x:v>70000</x:v>
      </x:c>
      <x:c r="D6" s="148" t="str">
        <x:v>Discretionary remuneration above the documented market replacement salary of $150,000.</x:v>
      </x:c>
      <x:c r="E6" s="148" t="str">
        <x:v>FY2024 financial statements; accountant add-back letter dated 25/07/2026</x:v>
      </x:c>
      <x:c r="F6" s="149" t="str">
        <x:v>Yes</x:v>
      </x:c>
    </x:row>
    <x:row r="7" ht="16.5" customHeight="1">
      <x:c r="A7" s="40"/>
      <x:c r="B7" s="41"/>
      <x:c r="C7" s="49"/>
      <x:c r="D7" s="40"/>
      <x:c r="E7" s="40"/>
      <x:c r="F7" s="41"/>
    </x:row>
    <x:row r="8" ht="16.5" customHeight="1">
      <x:c r="A8" s="36"/>
      <x:c r="B8" s="37"/>
      <x:c r="C8" s="47"/>
      <x:c r="D8" s="36"/>
      <x:c r="E8" s="36"/>
      <x:c r="F8" s="37"/>
    </x:row>
    <x:row r="9" ht="16.5" customHeight="1">
      <x:c r="A9" s="40"/>
      <x:c r="B9" s="41"/>
      <x:c r="C9" s="49"/>
      <x:c r="D9" s="40"/>
      <x:c r="E9" s="40"/>
      <x:c r="F9" s="41"/>
    </x:row>
    <x:row r="10" ht="16.5" customHeight="1">
      <x:c r="A10" s="36"/>
      <x:c r="B10" s="37"/>
      <x:c r="C10" s="47"/>
      <x:c r="D10" s="36"/>
      <x:c r="E10" s="36"/>
      <x:c r="F10" s="37"/>
    </x:row>
    <x:row r="11" ht="16.5" customHeight="1">
      <x:c r="A11" s="40"/>
      <x:c r="B11" s="41"/>
      <x:c r="C11" s="49"/>
      <x:c r="D11" s="40"/>
      <x:c r="E11" s="40"/>
      <x:c r="F11" s="41"/>
    </x:row>
    <x:row r="12" ht="16.5" customHeight="1">
      <x:c r="A12" s="36"/>
      <x:c r="B12" s="37"/>
      <x:c r="C12" s="47"/>
      <x:c r="D12" s="36"/>
      <x:c r="E12" s="36"/>
      <x:c r="F12" s="37"/>
    </x:row>
    <x:row r="13" ht="16.5" customHeight="1">
      <x:c r="A13" s="40"/>
      <x:c r="B13" s="41"/>
      <x:c r="C13" s="49"/>
      <x:c r="D13" s="40"/>
      <x:c r="E13" s="40"/>
      <x:c r="F13" s="41"/>
    </x:row>
    <x:row r="14" ht="16.5" customHeight="1">
      <x:c r="A14" s="36"/>
      <x:c r="B14" s="37"/>
      <x:c r="C14" s="47"/>
      <x:c r="D14" s="36"/>
      <x:c r="E14" s="36"/>
      <x:c r="F14" s="37"/>
    </x:row>
    <x:row r="15" ht="16.5" customHeight="1">
      <x:c r="A15" s="40"/>
      <x:c r="B15" s="41"/>
      <x:c r="C15" s="49"/>
      <x:c r="D15" s="40"/>
      <x:c r="E15" s="40"/>
      <x:c r="F15" s="41"/>
    </x:row>
    <x:row r="16" ht="16.5" customHeight="1">
      <x:c r="A16" s="36"/>
      <x:c r="B16" s="37"/>
      <x:c r="C16" s="47"/>
      <x:c r="D16" s="36"/>
      <x:c r="E16" s="36"/>
      <x:c r="F16" s="37"/>
    </x:row>
    <x:row r="17" ht="16.5" customHeight="1">
      <x:c r="A17" s="40"/>
      <x:c r="B17" s="41"/>
      <x:c r="C17" s="49"/>
      <x:c r="D17" s="40"/>
      <x:c r="E17" s="40"/>
      <x:c r="F17" s="41"/>
    </x:row>
    <x:row r="19">
      <x:c r="A19" s="6" t="s">
        <x:v>174</x:v>
      </x:c>
    </x:row>
    <x:row r="20">
      <x:c r="A20" s="44" t="s">
        <x:v>204</x:v>
      </x:c>
    </x:row>
    <x:row r="21">
      <x:c r="A21" s="44" t="s">
        <x:v>205</x:v>
      </x:c>
    </x:row>
    <x:row r="22">
      <x:c r="A22" s="45" t="s">
        <x:v>177</x:v>
      </x:c>
    </x:row>
  </x:sheetData>
  <x:mergeCells>
    <x:mergeCell ref="A1:F1"/>
    <x:mergeCell ref="A2:F2"/>
  </x:mergeCells>
  <x:dataValidations count="2">
    <x:dataValidation type="list" allowBlank="1" errorTitle="Not on the list" error="Choose one of the listed options, or leave the cell blank." promptTitle="Select an option" prompt="Depreciation / Interest / Director remuneration / One-off / non-recurring / Non-cash / Rent to a related party / Superannuation / Other" sqref="B4:B17">
      <x:formula1>"Depreciation,Interest,Director remuneration,One-off / non-recurring,Non-cash,Rent to a related party,Superannuation,Other"</x:formula1>
      <x:formula2>0</x:formula2>
    </x:dataValidation>
    <x:dataValidation type="list" allowBlank="1" errorTitle="Not on the list" error="Choose one of the listed options, or leave the cell blank." promptTitle="Select an option" prompt="Yes / No" sqref="F4:F17">
      <x:formula1>"Yes,No"</x:formula1>
      <x:formula2>0</x:formula2>
    </x:dataValidation>
  </x:dataValidations>
  <x:pageMargins left="0.7" right="0.7" top="0.75" bottom="0.75" header="0.3" footer="0.3"/>
</x:worksheet>
</file>

<file path=xl/worksheets/sheet8.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2" width="30" customWidth="1"/>
    <x:col min="3" max="3" width="12" customWidth="1"/>
    <x:col min="4" max="4" width="22" customWidth="1"/>
    <x:col min="5" max="6" width="15" customWidth="1"/>
    <x:col min="7" max="7" width="26" customWidth="1"/>
    <x:col min="8" max="8" width="15" customWidth="1"/>
    <x:col min="9" max="9" width="12" customWidth="1"/>
    <x:col min="10" max="10" width="22" customWidth="1"/>
    <x:col min="11" max="11" width="12" customWidth="1"/>
    <x:col min="12" max="13" width="15" customWidth="1"/>
    <x:col min="14" max="14" width="13" customWidth="1"/>
    <x:col min="15" max="15" width="12" customWidth="1"/>
    <x:col min="16" max="20" width="15" customWidth="1"/>
    <x:col min="21" max="21" width="22" customWidth="1"/>
    <x:col min="22" max="22" width="18" customWidth="1"/>
  </x:cols>
  <x:sheetData>
    <x:row r="1" ht="21.75" customHeight="1">
      <x:c r="A1" s="2" t="s">
        <x:v>206</x:v>
      </x:c>
      <x:c r="B1" s="2"/>
      <x:c r="C1" s="2"/>
      <x:c r="D1" s="2"/>
      <x:c r="E1" s="2"/>
      <x:c r="F1" s="2"/>
      <x:c r="G1" s="2"/>
      <x:c r="H1" s="2"/>
      <x:c r="I1" s="2"/>
      <x:c r="J1" s="2"/>
      <x:c r="K1" s="2"/>
      <x:c r="L1" s="2"/>
      <x:c r="M1" s="2"/>
      <x:c r="N1" s="2"/>
      <x:c r="O1" s="2"/>
      <x:c r="P1" s="2"/>
      <x:c r="Q1" s="2"/>
      <x:c r="R1" s="2"/>
      <x:c r="S1" s="2"/>
      <x:c r="T1" s="2"/>
      <x:c r="U1" s="2"/>
    </x:row>
    <x:row r="2" ht="25.5" customHeight="1">
      <x:c r="A2" s="3" t="s">
        <x:v>207</x:v>
      </x:c>
      <x:c r="B2" s="3"/>
      <x:c r="C2" s="3"/>
      <x:c r="D2" s="3"/>
      <x:c r="E2" s="3"/>
      <x:c r="F2" s="3"/>
      <x:c r="G2" s="3"/>
      <x:c r="H2" s="3"/>
      <x:c r="I2" s="3"/>
      <x:c r="J2" s="3"/>
      <x:c r="K2" s="3"/>
      <x:c r="L2" s="3"/>
      <x:c r="M2" s="3"/>
      <x:c r="N2" s="3"/>
      <x:c r="O2" s="3"/>
      <x:c r="P2" s="3"/>
      <x:c r="Q2" s="3"/>
      <x:c r="R2" s="3"/>
      <x:c r="S2" s="3"/>
      <x:c r="T2" s="3"/>
      <x:c r="U2" s="3"/>
    </x:row>
    <x:row r="3" ht="30" customHeight="1">
      <x:c r="A3" s="25" t="s">
        <x:v>208</x:v>
      </x:c>
      <x:c r="B3" s="25" t="s">
        <x:v>209</x:v>
      </x:c>
      <x:c r="C3" s="25" t="s">
        <x:v>163</x:v>
      </x:c>
      <x:c r="D3" s="25" t="s">
        <x:v>210</x:v>
      </x:c>
      <x:c r="E3" s="25" t="s">
        <x:v>211</x:v>
      </x:c>
      <x:c r="F3" s="25" t="s">
        <x:v>212</x:v>
      </x:c>
      <x:c r="G3" s="25" t="s">
        <x:v>213</x:v>
      </x:c>
      <x:c r="H3" s="25" t="s">
        <x:v>214</x:v>
      </x:c>
      <x:c r="I3" s="25" t="s">
        <x:v>215</x:v>
      </x:c>
      <x:c r="J3" s="25" t="s">
        <x:v>216</x:v>
      </x:c>
      <x:c r="K3" s="25" t="s">
        <x:v>217</x:v>
      </x:c>
      <x:c r="L3" s="25" t="s">
        <x:v>218</x:v>
      </x:c>
      <x:c r="M3" s="25" t="s">
        <x:v>219</x:v>
      </x:c>
      <x:c r="N3" s="25" t="s">
        <x:v>220</x:v>
      </x:c>
      <x:c r="O3" s="25" t="s">
        <x:v>221</x:v>
      </x:c>
      <x:c r="P3" s="25" t="s">
        <x:v>222</x:v>
      </x:c>
      <x:c r="Q3" s="25" t="s">
        <x:v>223</x:v>
      </x:c>
      <x:c r="R3" s="25" t="s">
        <x:v>224</x:v>
      </x:c>
      <x:c r="S3" s="25" t="s">
        <x:v>225</x:v>
      </x:c>
      <x:c r="T3" s="25" t="s">
        <x:v>226</x:v>
      </x:c>
      <x:c r="U3" s="25" t="s">
        <x:v>227</x:v>
      </x:c>
      <x:c r="V3" s="50" t="s">
        <x:v>228</x:v>
      </x:c>
    </x:row>
    <x:row r="4" ht="16.5" customHeight="1">
      <x:c r="A4" s="148" t="str">
        <x:v>45 Commerce Crescent, Derrimut VIC 3026</x:v>
      </x:c>
      <x:c r="B4" s="148" t="str">
        <x:v>Asteron Industrial Holdings Pty Ltd ATF Asteron Industrial Property Trust</x:v>
      </x:c>
      <x:c r="C4" s="150" t="n">
        <x:v>100</x:v>
      </x:c>
      <x:c r="D4" s="149" t="str">
        <x:v>Industrial</x:v>
      </x:c>
      <x:c r="E4" s="173" t="n">
        <x:v>2850000</x:v>
      </x:c>
      <x:c r="F4" s="173" t="n">
        <x:v>1550000</x:v>
      </x:c>
      <x:c r="G4" s="173" t="str">
        <x:v>National Australia Bank</x:v>
      </x:c>
      <x:c r="H4" s="173" t="n">
        <x:v>1650000</x:v>
      </x:c>
      <x:c r="I4" s="150" t="n">
        <x:v>6.45</x:v>
      </x:c>
      <x:c r="J4" s="149" t="str">
        <x:v>Principal and interest</x:v>
      </x:c>
      <x:c r="K4" s="151" t="n">
        <x:v>16</x:v>
      </x:c>
      <x:c r="L4" s="173"/>
      <x:c r="M4" s="173" t="n">
        <x:v>192000</x:v>
      </x:c>
      <x:c r="N4" s="172" t="n">
        <x:v>47361</x:v>
      </x:c>
      <x:c r="O4" s="150" t="n">
        <x:v>3</x:v>
      </x:c>
      <x:c r="P4" s="173" t="n">
        <x:v>8000</x:v>
      </x:c>
      <x:c r="Q4" s="173" t="n">
        <x:v>0</x:v>
      </x:c>
      <x:c r="R4" s="173" t="n">
        <x:v>12000</x:v>
      </x:c>
      <x:c r="S4" s="173" t="n">
        <x:v>9000</x:v>
      </x:c>
      <x:c r="T4" s="173" t="n">
        <x:v>7680</x:v>
      </x:c>
      <x:c r="U4" s="149" t="str">
        <x:v>No</x:v>
      </x:c>
      <x:c r="V4" s="184" t="n">
        <x:f t="shared" ref="V4:V17" si="0">IF($A4="","",IF($L4&lt;&gt;"",$L4,IF(OR($F4="",$I4=""),"",IF($J4="Interest only",$F4*$I4/100,IF($K4&gt;0,-PMT($I4/100,$K4,$F4),$F4*$I4/100)))))</x:f>
        <x:v>158150.45598965147</x:v>
      </x:c>
    </x:row>
    <x:row r="5" ht="16.5" customHeight="1">
      <x:c r="A5" s="152" t="str">
        <x:v>9 Market Lane, Sunshine West VIC 3020</x:v>
      </x:c>
      <x:c r="B5" s="152" t="str">
        <x:v>Asteron Industrial Holdings Pty Ltd ATF Asteron Industrial Property Trust</x:v>
      </x:c>
      <x:c r="C5" s="154" t="n">
        <x:v>100</x:v>
      </x:c>
      <x:c r="D5" s="153" t="str">
        <x:v>Commercial</x:v>
      </x:c>
      <x:c r="E5" s="175" t="n">
        <x:v>1650000</x:v>
      </x:c>
      <x:c r="F5" s="175" t="n">
        <x:v>690000</x:v>
      </x:c>
      <x:c r="G5" s="175" t="str">
        <x:v>Commonwealth Bank of Australia</x:v>
      </x:c>
      <x:c r="H5" s="175" t="n">
        <x:v>750000</x:v>
      </x:c>
      <x:c r="I5" s="154" t="n">
        <x:v>6.65</x:v>
      </x:c>
      <x:c r="J5" s="153" t="str">
        <x:v>Interest only</x:v>
      </x:c>
      <x:c r="K5" s="155" t="n">
        <x:v>3</x:v>
      </x:c>
      <x:c r="L5" s="175" t="n">
        <x:v>45885</x:v>
      </x:c>
      <x:c r="M5" s="175" t="n">
        <x:v>121000</x:v>
      </x:c>
      <x:c r="N5" s="174" t="n">
        <x:v>46934</x:v>
      </x:c>
      <x:c r="O5" s="154" t="n">
        <x:v>4</x:v>
      </x:c>
      <x:c r="P5" s="175" t="n">
        <x:v>6000</x:v>
      </x:c>
      <x:c r="Q5" s="175" t="n">
        <x:v>0</x:v>
      </x:c>
      <x:c r="R5" s="175" t="n">
        <x:v>7000</x:v>
      </x:c>
      <x:c r="S5" s="175" t="n">
        <x:v>5000</x:v>
      </x:c>
      <x:c r="T5" s="175" t="n">
        <x:v>4840</x:v>
      </x:c>
      <x:c r="U5" s="153" t="str">
        <x:v>No</x:v>
      </x:c>
      <x:c r="V5" s="184" t="n">
        <x:f t="shared" si="0">IF($A5="","",IF($L5&lt;&gt;"",$L5,IF(OR($F5="",$I5=""),"",IF($J5="Interest only",$F5*$I5/100,IF($K5&gt;0,-PMT($I5/100,$K5,$F5),$F5*$I5/100)))))</x:f>
        <x:v>45885</x:v>
      </x:c>
    </x:row>
    <x:row r="6" ht="16.5" customHeight="1">
      <x:c r="A6" s="36"/>
      <x:c r="B6" s="36"/>
      <x:c r="C6" s="38"/>
      <x:c r="D6" s="37"/>
      <x:c r="E6" s="47"/>
      <x:c r="F6" s="47"/>
      <x:c r="G6" s="36"/>
      <x:c r="H6" s="47"/>
      <x:c r="I6" s="38"/>
      <x:c r="J6" s="37"/>
      <x:c r="K6" s="39"/>
      <x:c r="L6" s="47"/>
      <x:c r="M6" s="47"/>
      <x:c r="N6" s="46"/>
      <x:c r="O6" s="38"/>
      <x:c r="P6" s="47"/>
      <x:c r="Q6" s="47"/>
      <x:c r="R6" s="47"/>
      <x:c r="S6" s="47"/>
      <x:c r="T6" s="47"/>
      <x:c r="U6" s="37"/>
      <x:c r="V6" s="182" t="str">
        <x:f t="shared" si="0">IF($A6="","",IF($L6&lt;&gt;"",$L6,IF(OR($F6="",$I6=""),"",IF($J6="Interest only",$F6*$I6/100,IF($K6&gt;0,-PMT($I6/100,$K6,$F6),$F6*$I6/100)))))</x:f>
      </x:c>
    </x:row>
    <x:row r="7" ht="16.5" customHeight="1">
      <x:c r="A7" s="40"/>
      <x:c r="B7" s="40"/>
      <x:c r="C7" s="42"/>
      <x:c r="D7" s="41"/>
      <x:c r="E7" s="49"/>
      <x:c r="F7" s="49"/>
      <x:c r="G7" s="40"/>
      <x:c r="H7" s="49"/>
      <x:c r="I7" s="42"/>
      <x:c r="J7" s="41"/>
      <x:c r="K7" s="43"/>
      <x:c r="L7" s="49"/>
      <x:c r="M7" s="49"/>
      <x:c r="N7" s="48"/>
      <x:c r="O7" s="42"/>
      <x:c r="P7" s="49"/>
      <x:c r="Q7" s="49"/>
      <x:c r="R7" s="49"/>
      <x:c r="S7" s="49"/>
      <x:c r="T7" s="49"/>
      <x:c r="U7" s="41"/>
      <x:c r="V7" s="182" t="str">
        <x:f t="shared" si="0">IF($A7="","",IF($L7&lt;&gt;"",$L7,IF(OR($F7="",$I7=""),"",IF($J7="Interest only",$F7*$I7/100,IF($K7&gt;0,-PMT($I7/100,$K7,$F7),$F7*$I7/100)))))</x:f>
      </x:c>
    </x:row>
    <x:row r="8" ht="16.5" customHeight="1">
      <x:c r="A8" s="36"/>
      <x:c r="B8" s="36"/>
      <x:c r="C8" s="38"/>
      <x:c r="D8" s="37"/>
      <x:c r="E8" s="47"/>
      <x:c r="F8" s="47"/>
      <x:c r="G8" s="36"/>
      <x:c r="H8" s="47"/>
      <x:c r="I8" s="38"/>
      <x:c r="J8" s="37"/>
      <x:c r="K8" s="39"/>
      <x:c r="L8" s="47"/>
      <x:c r="M8" s="47"/>
      <x:c r="N8" s="46"/>
      <x:c r="O8" s="38"/>
      <x:c r="P8" s="47"/>
      <x:c r="Q8" s="47"/>
      <x:c r="R8" s="47"/>
      <x:c r="S8" s="47"/>
      <x:c r="T8" s="47"/>
      <x:c r="U8" s="37"/>
      <x:c r="V8" s="182" t="str">
        <x:f t="shared" si="0">IF($A8="","",IF($L8&lt;&gt;"",$L8,IF(OR($F8="",$I8=""),"",IF($J8="Interest only",$F8*$I8/100,IF($K8&gt;0,-PMT($I8/100,$K8,$F8),$F8*$I8/100)))))</x:f>
      </x:c>
    </x:row>
    <x:row r="9" ht="16.5" customHeight="1">
      <x:c r="A9" s="40"/>
      <x:c r="B9" s="40"/>
      <x:c r="C9" s="42"/>
      <x:c r="D9" s="41"/>
      <x:c r="E9" s="49"/>
      <x:c r="F9" s="49"/>
      <x:c r="G9" s="40"/>
      <x:c r="H9" s="49"/>
      <x:c r="I9" s="42"/>
      <x:c r="J9" s="41"/>
      <x:c r="K9" s="43"/>
      <x:c r="L9" s="49"/>
      <x:c r="M9" s="49"/>
      <x:c r="N9" s="48"/>
      <x:c r="O9" s="42"/>
      <x:c r="P9" s="49"/>
      <x:c r="Q9" s="49"/>
      <x:c r="R9" s="49"/>
      <x:c r="S9" s="49"/>
      <x:c r="T9" s="49"/>
      <x:c r="U9" s="41"/>
      <x:c r="V9" s="182" t="str">
        <x:f t="shared" si="0">IF($A9="","",IF($L9&lt;&gt;"",$L9,IF(OR($F9="",$I9=""),"",IF($J9="Interest only",$F9*$I9/100,IF($K9&gt;0,-PMT($I9/100,$K9,$F9),$F9*$I9/100)))))</x:f>
      </x:c>
    </x:row>
    <x:row r="10" ht="16.5" customHeight="1">
      <x:c r="A10" s="36"/>
      <x:c r="B10" s="36"/>
      <x:c r="C10" s="38"/>
      <x:c r="D10" s="37"/>
      <x:c r="E10" s="47"/>
      <x:c r="F10" s="47"/>
      <x:c r="G10" s="36"/>
      <x:c r="H10" s="47"/>
      <x:c r="I10" s="38"/>
      <x:c r="J10" s="37"/>
      <x:c r="K10" s="39"/>
      <x:c r="L10" s="47"/>
      <x:c r="M10" s="47"/>
      <x:c r="N10" s="46"/>
      <x:c r="O10" s="38"/>
      <x:c r="P10" s="47"/>
      <x:c r="Q10" s="47"/>
      <x:c r="R10" s="47"/>
      <x:c r="S10" s="47"/>
      <x:c r="T10" s="47"/>
      <x:c r="U10" s="37"/>
      <x:c r="V10" s="182" t="str">
        <x:f t="shared" si="0">IF($A10="","",IF($L10&lt;&gt;"",$L10,IF(OR($F10="",$I10=""),"",IF($J10="Interest only",$F10*$I10/100,IF($K10&gt;0,-PMT($I10/100,$K10,$F10),$F10*$I10/100)))))</x:f>
      </x:c>
    </x:row>
    <x:row r="11" ht="16.5" customHeight="1">
      <x:c r="A11" s="40"/>
      <x:c r="B11" s="40"/>
      <x:c r="C11" s="42"/>
      <x:c r="D11" s="41"/>
      <x:c r="E11" s="49"/>
      <x:c r="F11" s="49"/>
      <x:c r="G11" s="40"/>
      <x:c r="H11" s="49"/>
      <x:c r="I11" s="42"/>
      <x:c r="J11" s="41"/>
      <x:c r="K11" s="43"/>
      <x:c r="L11" s="49"/>
      <x:c r="M11" s="49"/>
      <x:c r="N11" s="48"/>
      <x:c r="O11" s="42"/>
      <x:c r="P11" s="49"/>
      <x:c r="Q11" s="49"/>
      <x:c r="R11" s="49"/>
      <x:c r="S11" s="49"/>
      <x:c r="T11" s="49"/>
      <x:c r="U11" s="41"/>
      <x:c r="V11" s="182" t="str">
        <x:f t="shared" si="0">IF($A11="","",IF($L11&lt;&gt;"",$L11,IF(OR($F11="",$I11=""),"",IF($J11="Interest only",$F11*$I11/100,IF($K11&gt;0,-PMT($I11/100,$K11,$F11),$F11*$I11/100)))))</x:f>
      </x:c>
    </x:row>
    <x:row r="12" ht="16.5" customHeight="1">
      <x:c r="A12" s="36"/>
      <x:c r="B12" s="36"/>
      <x:c r="C12" s="38"/>
      <x:c r="D12" s="37"/>
      <x:c r="E12" s="47"/>
      <x:c r="F12" s="47"/>
      <x:c r="G12" s="36"/>
      <x:c r="H12" s="47"/>
      <x:c r="I12" s="38"/>
      <x:c r="J12" s="37"/>
      <x:c r="K12" s="39"/>
      <x:c r="L12" s="47"/>
      <x:c r="M12" s="47"/>
      <x:c r="N12" s="46"/>
      <x:c r="O12" s="38"/>
      <x:c r="P12" s="47"/>
      <x:c r="Q12" s="47"/>
      <x:c r="R12" s="47"/>
      <x:c r="S12" s="47"/>
      <x:c r="T12" s="47"/>
      <x:c r="U12" s="37"/>
      <x:c r="V12" s="182" t="str">
        <x:f t="shared" si="0">IF($A12="","",IF($L12&lt;&gt;"",$L12,IF(OR($F12="",$I12=""),"",IF($J12="Interest only",$F12*$I12/100,IF($K12&gt;0,-PMT($I12/100,$K12,$F12),$F12*$I12/100)))))</x:f>
      </x:c>
    </x:row>
    <x:row r="13" ht="16.5" customHeight="1">
      <x:c r="A13" s="40"/>
      <x:c r="B13" s="40"/>
      <x:c r="C13" s="42"/>
      <x:c r="D13" s="41"/>
      <x:c r="E13" s="49"/>
      <x:c r="F13" s="49"/>
      <x:c r="G13" s="40"/>
      <x:c r="H13" s="49"/>
      <x:c r="I13" s="42"/>
      <x:c r="J13" s="41"/>
      <x:c r="K13" s="43"/>
      <x:c r="L13" s="49"/>
      <x:c r="M13" s="49"/>
      <x:c r="N13" s="48"/>
      <x:c r="O13" s="42"/>
      <x:c r="P13" s="49"/>
      <x:c r="Q13" s="49"/>
      <x:c r="R13" s="49"/>
      <x:c r="S13" s="49"/>
      <x:c r="T13" s="49"/>
      <x:c r="U13" s="41"/>
      <x:c r="V13" s="182" t="str">
        <x:f t="shared" si="0">IF($A13="","",IF($L13&lt;&gt;"",$L13,IF(OR($F13="",$I13=""),"",IF($J13="Interest only",$F13*$I13/100,IF($K13&gt;0,-PMT($I13/100,$K13,$F13),$F13*$I13/100)))))</x:f>
      </x:c>
    </x:row>
    <x:row r="14" ht="16.5" customHeight="1">
      <x:c r="A14" s="36"/>
      <x:c r="B14" s="36"/>
      <x:c r="C14" s="38"/>
      <x:c r="D14" s="37"/>
      <x:c r="E14" s="47"/>
      <x:c r="F14" s="47"/>
      <x:c r="G14" s="36"/>
      <x:c r="H14" s="47"/>
      <x:c r="I14" s="38"/>
      <x:c r="J14" s="37"/>
      <x:c r="K14" s="39"/>
      <x:c r="L14" s="47"/>
      <x:c r="M14" s="47"/>
      <x:c r="N14" s="46"/>
      <x:c r="O14" s="38"/>
      <x:c r="P14" s="47"/>
      <x:c r="Q14" s="47"/>
      <x:c r="R14" s="47"/>
      <x:c r="S14" s="47"/>
      <x:c r="T14" s="47"/>
      <x:c r="U14" s="37"/>
      <x:c r="V14" s="182" t="str">
        <x:f t="shared" si="0">IF($A14="","",IF($L14&lt;&gt;"",$L14,IF(OR($F14="",$I14=""),"",IF($J14="Interest only",$F14*$I14/100,IF($K14&gt;0,-PMT($I14/100,$K14,$F14),$F14*$I14/100)))))</x:f>
      </x:c>
    </x:row>
    <x:row r="15" ht="16.5" customHeight="1">
      <x:c r="A15" s="40"/>
      <x:c r="B15" s="40"/>
      <x:c r="C15" s="42"/>
      <x:c r="D15" s="41"/>
      <x:c r="E15" s="49"/>
      <x:c r="F15" s="49"/>
      <x:c r="G15" s="40"/>
      <x:c r="H15" s="49"/>
      <x:c r="I15" s="42"/>
      <x:c r="J15" s="41"/>
      <x:c r="K15" s="43"/>
      <x:c r="L15" s="49"/>
      <x:c r="M15" s="49"/>
      <x:c r="N15" s="48"/>
      <x:c r="O15" s="42"/>
      <x:c r="P15" s="49"/>
      <x:c r="Q15" s="49"/>
      <x:c r="R15" s="49"/>
      <x:c r="S15" s="49"/>
      <x:c r="T15" s="49"/>
      <x:c r="U15" s="41"/>
      <x:c r="V15" s="182" t="str">
        <x:f t="shared" si="0">IF($A15="","",IF($L15&lt;&gt;"",$L15,IF(OR($F15="",$I15=""),"",IF($J15="Interest only",$F15*$I15/100,IF($K15&gt;0,-PMT($I15/100,$K15,$F15),$F15*$I15/100)))))</x:f>
      </x:c>
    </x:row>
    <x:row r="16" ht="16.5" customHeight="1">
      <x:c r="A16" s="36"/>
      <x:c r="B16" s="36"/>
      <x:c r="C16" s="38"/>
      <x:c r="D16" s="37"/>
      <x:c r="E16" s="47"/>
      <x:c r="F16" s="47"/>
      <x:c r="G16" s="36"/>
      <x:c r="H16" s="47"/>
      <x:c r="I16" s="38"/>
      <x:c r="J16" s="37"/>
      <x:c r="K16" s="39"/>
      <x:c r="L16" s="47"/>
      <x:c r="M16" s="47"/>
      <x:c r="N16" s="46"/>
      <x:c r="O16" s="38"/>
      <x:c r="P16" s="47"/>
      <x:c r="Q16" s="47"/>
      <x:c r="R16" s="47"/>
      <x:c r="S16" s="47"/>
      <x:c r="T16" s="47"/>
      <x:c r="U16" s="37"/>
      <x:c r="V16" s="182" t="str">
        <x:f t="shared" si="0">IF($A16="","",IF($L16&lt;&gt;"",$L16,IF(OR($F16="",$I16=""),"",IF($J16="Interest only",$F16*$I16/100,IF($K16&gt;0,-PMT($I16/100,$K16,$F16),$F16*$I16/100)))))</x:f>
      </x:c>
    </x:row>
    <x:row r="17" ht="16.5" customHeight="1">
      <x:c r="A17" s="40"/>
      <x:c r="B17" s="40"/>
      <x:c r="C17" s="42"/>
      <x:c r="D17" s="41"/>
      <x:c r="E17" s="49"/>
      <x:c r="F17" s="49"/>
      <x:c r="G17" s="40"/>
      <x:c r="H17" s="49"/>
      <x:c r="I17" s="42"/>
      <x:c r="J17" s="41"/>
      <x:c r="K17" s="43"/>
      <x:c r="L17" s="49"/>
      <x:c r="M17" s="49"/>
      <x:c r="N17" s="48"/>
      <x:c r="O17" s="42"/>
      <x:c r="P17" s="49"/>
      <x:c r="Q17" s="49"/>
      <x:c r="R17" s="49"/>
      <x:c r="S17" s="49"/>
      <x:c r="T17" s="49"/>
      <x:c r="U17" s="41"/>
      <x:c r="V17" s="182" t="str">
        <x:f t="shared" si="0">IF($A17="","",IF($L17&lt;&gt;"",$L17,IF(OR($F17="",$I17=""),"",IF($J17="Interest only",$F17*$I17/100,IF($K17&gt;0,-PMT($I17/100,$K17,$F17),$F17*$I17/100)))))</x:f>
      </x:c>
    </x:row>
    <x:row r="19">
      <x:c r="A19" s="6" t="s">
        <x:v>174</x:v>
      </x:c>
    </x:row>
    <x:row r="20">
      <x:c r="A20" s="44" t="s">
        <x:v>229</x:v>
      </x:c>
    </x:row>
    <x:row r="21">
      <x:c r="A21" s="44" t="s">
        <x:v>230</x:v>
      </x:c>
    </x:row>
    <x:row r="22">
      <x:c r="A22" s="45" t="s">
        <x:v>177</x:v>
      </x:c>
    </x:row>
  </x:sheetData>
  <x:mergeCells>
    <x:mergeCell ref="A1:U1"/>
    <x:mergeCell ref="A2:U2"/>
  </x:mergeCells>
  <x:dataValidations count="3">
    <x:dataValidation type="list" allowBlank="1" errorTitle="Not on the list" error="Choose one of the listed options, or leave the cell blank." promptTitle="Select an option" prompt="Residential / Commercial / Industrial / Mixed use / Land / Development" sqref="D4:D17">
      <x:formula1>"Residential,Commercial,Industrial,Mixed use,Land,Development"</x:formula1>
      <x:formula2>0</x:formula2>
    </x:dataValidation>
    <x:dataValidation type="list" allowBlank="1" errorTitle="Not on the list" error="Choose one of the listed options, or leave the cell blank." promptTitle="Select an option" prompt="Principal and interest / Interest only / Residual / balloon" sqref="J4:J17">
      <x:formula1>"Principal and interest,Interest only,Residual / balloon"</x:formula1>
      <x:formula2>0</x:formula2>
    </x:dataValidation>
    <x:dataValidation type="list" allowBlank="1" errorTitle="Not on the list" error="Choose one of the listed options, or leave the cell blank." promptTitle="Select an option" prompt="Yes / No" sqref="U4:U17">
      <x:formula1>"Yes,No"</x:formula1>
      <x:formula2>0</x:formula2>
    </x:dataValidation>
  </x:dataValidations>
  <x:pageMargins left="0.7" right="0.7" top="0.75" bottom="0.75" header="0.3" footer="0.3"/>
</x:worksheet>
</file>

<file path=xl/worksheets/sheet9.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30" customWidth="1"/>
    <x:col min="2" max="2" width="22" customWidth="1"/>
    <x:col min="3" max="3" width="30" customWidth="1"/>
    <x:col min="4" max="4" width="26" customWidth="1"/>
    <x:col min="5" max="6" width="15" customWidth="1"/>
    <x:col min="7" max="7" width="12" customWidth="1"/>
    <x:col min="8" max="8" width="22" customWidth="1"/>
    <x:col min="9" max="9" width="12" customWidth="1"/>
    <x:col min="10" max="10" width="15" customWidth="1"/>
    <x:col min="11" max="11" width="22" customWidth="1"/>
    <x:col min="12" max="12" width="18" customWidth="1"/>
  </x:cols>
  <x:sheetData>
    <x:row r="1" ht="21.75" customHeight="1">
      <x:c r="A1" s="2" t="s">
        <x:v>231</x:v>
      </x:c>
      <x:c r="B1" s="2"/>
      <x:c r="C1" s="2"/>
      <x:c r="D1" s="2"/>
      <x:c r="E1" s="2"/>
      <x:c r="F1" s="2"/>
      <x:c r="G1" s="2"/>
      <x:c r="H1" s="2"/>
      <x:c r="I1" s="2"/>
      <x:c r="J1" s="2"/>
      <x:c r="K1" s="2"/>
    </x:row>
    <x:row r="2" ht="25.5" customHeight="1">
      <x:c r="A2" s="3" t="s">
        <x:v>232</x:v>
      </x:c>
      <x:c r="B2" s="3"/>
      <x:c r="C2" s="3"/>
      <x:c r="D2" s="3"/>
      <x:c r="E2" s="3"/>
      <x:c r="F2" s="3"/>
      <x:c r="G2" s="3"/>
      <x:c r="H2" s="3"/>
      <x:c r="I2" s="3"/>
      <x:c r="J2" s="3"/>
      <x:c r="K2" s="3"/>
    </x:row>
    <x:row r="3" ht="30" customHeight="1">
      <x:c r="A3" s="25" t="s">
        <x:v>233</x:v>
      </x:c>
      <x:c r="B3" s="25" t="s">
        <x:v>234</x:v>
      </x:c>
      <x:c r="C3" s="25" t="s">
        <x:v>235</x:v>
      </x:c>
      <x:c r="D3" s="25" t="s">
        <x:v>213</x:v>
      </x:c>
      <x:c r="E3" s="25" t="s">
        <x:v>236</x:v>
      </x:c>
      <x:c r="F3" s="25" t="s">
        <x:v>237</x:v>
      </x:c>
      <x:c r="G3" s="25" t="s">
        <x:v>238</x:v>
      </x:c>
      <x:c r="H3" s="25" t="s">
        <x:v>239</x:v>
      </x:c>
      <x:c r="I3" s="25" t="s">
        <x:v>217</x:v>
      </x:c>
      <x:c r="J3" s="25" t="s">
        <x:v>218</x:v>
      </x:c>
      <x:c r="K3" s="25" t="s">
        <x:v>240</x:v>
      </x:c>
      <x:c r="L3" s="50" t="s">
        <x:v>228</x:v>
      </x:c>
    </x:row>
    <x:row r="4" ht="16.5" customHeight="1">
      <x:c r="A4" s="148" t="str">
        <x:v>Jungheinrich forklift and materials-handling equipment finance</x:v>
      </x:c>
      <x:c r="B4" s="149" t="str">
        <x:v>Equipment finance</x:v>
      </x:c>
      <x:c r="C4" s="148" t="str">
        <x:v>Asteron Distribution Services Pty Ltd</x:v>
      </x:c>
      <x:c r="D4" s="148" t="str">
        <x:v>Westpac Equipment Finance</x:v>
      </x:c>
      <x:c r="E4" s="173" t="n">
        <x:v>285000</x:v>
      </x:c>
      <x:c r="F4" s="173" t="n">
        <x:v>320000</x:v>
      </x:c>
      <x:c r="G4" s="150" t="n">
        <x:v>7.75</x:v>
      </x:c>
      <x:c r="H4" s="149" t="str">
        <x:v>Principal and interest</x:v>
      </x:c>
      <x:c r="I4" s="151" t="n">
        <x:v>4</x:v>
      </x:c>
      <x:c r="J4" s="173" t="n">
        <x:v>84000</x:v>
      </x:c>
      <x:c r="K4" s="149" t="str">
        <x:v>No</x:v>
      </x:c>
      <x:c r="L4" s="184" t="n">
        <x:f t="shared" ref="L4:L17" si="0">IF($A4="","",IF($J4&lt;&gt;"",$J4,IF(OR($E4="",$G4=""),"",IF($H4="Interest only",$E4*$G4/100,IF($I4&gt;0,-PMT($G4/100,$I4,$E4),$E4*$G4/100)))))</x:f>
        <x:v>84000</x:v>
      </x:c>
    </x:row>
    <x:row r="5" ht="16.5" customHeight="1">
      <x:c r="A5" s="152" t="str">
        <x:v>Corporate purchasing credit card</x:v>
      </x:c>
      <x:c r="B5" s="153" t="str">
        <x:v>Credit card</x:v>
      </x:c>
      <x:c r="C5" s="152" t="str">
        <x:v>Asteron Distribution Services Pty Ltd</x:v>
      </x:c>
      <x:c r="D5" s="152" t="str">
        <x:v>American Express</x:v>
      </x:c>
      <x:c r="E5" s="175" t="n">
        <x:v>18400</x:v>
      </x:c>
      <x:c r="F5" s="175" t="n">
        <x:v>50000</x:v>
      </x:c>
      <x:c r="G5" s="154" t="n">
        <x:v>19.99</x:v>
      </x:c>
      <x:c r="H5" s="153" t="str">
        <x:v>Principal and interest</x:v>
      </x:c>
      <x:c r="I5" s="155" t="n">
        <x:v>1</x:v>
      </x:c>
      <x:c r="J5" s="175" t="n">
        <x:v>15000</x:v>
      </x:c>
      <x:c r="K5" s="153" t="str">
        <x:v>No</x:v>
      </x:c>
      <x:c r="L5" s="184" t="n">
        <x:f t="shared" si="0">IF($A5="","",IF($J5&lt;&gt;"",$J5,IF(OR($E5="",$G5=""),"",IF($H5="Interest only",$E5*$G5/100,IF($I5&gt;0,-PMT($G5/100,$I5,$E5),$E5*$G5/100)))))</x:f>
        <x:v>15000</x:v>
      </x:c>
    </x:row>
    <x:row r="6" ht="16.5" customHeight="1">
      <x:c r="A6" s="36"/>
      <x:c r="B6" s="37"/>
      <x:c r="C6" s="36"/>
      <x:c r="D6" s="36"/>
      <x:c r="E6" s="47"/>
      <x:c r="F6" s="47"/>
      <x:c r="G6" s="38"/>
      <x:c r="H6" s="37"/>
      <x:c r="I6" s="39"/>
      <x:c r="J6" s="47"/>
      <x:c r="K6" s="37"/>
      <x:c r="L6" s="182" t="str">
        <x:f t="shared" si="0">IF($A6="","",IF($J6&lt;&gt;"",$J6,IF(OR($E6="",$G6=""),"",IF($H6="Interest only",$E6*$G6/100,IF($I6&gt;0,-PMT($G6/100,$I6,$E6),$E6*$G6/100)))))</x:f>
      </x:c>
    </x:row>
    <x:row r="7" ht="16.5" customHeight="1">
      <x:c r="A7" s="40"/>
      <x:c r="B7" s="41"/>
      <x:c r="C7" s="40"/>
      <x:c r="D7" s="40"/>
      <x:c r="E7" s="49"/>
      <x:c r="F7" s="49"/>
      <x:c r="G7" s="42"/>
      <x:c r="H7" s="41"/>
      <x:c r="I7" s="43"/>
      <x:c r="J7" s="49"/>
      <x:c r="K7" s="41"/>
      <x:c r="L7" s="182" t="str">
        <x:f t="shared" si="0">IF($A7="","",IF($J7&lt;&gt;"",$J7,IF(OR($E7="",$G7=""),"",IF($H7="Interest only",$E7*$G7/100,IF($I7&gt;0,-PMT($G7/100,$I7,$E7),$E7*$G7/100)))))</x:f>
      </x:c>
    </x:row>
    <x:row r="8" ht="16.5" customHeight="1">
      <x:c r="A8" s="36"/>
      <x:c r="B8" s="37"/>
      <x:c r="C8" s="36"/>
      <x:c r="D8" s="36"/>
      <x:c r="E8" s="47"/>
      <x:c r="F8" s="47"/>
      <x:c r="G8" s="38"/>
      <x:c r="H8" s="37"/>
      <x:c r="I8" s="39"/>
      <x:c r="J8" s="47"/>
      <x:c r="K8" s="37"/>
      <x:c r="L8" s="182" t="str">
        <x:f t="shared" si="0">IF($A8="","",IF($J8&lt;&gt;"",$J8,IF(OR($E8="",$G8=""),"",IF($H8="Interest only",$E8*$G8/100,IF($I8&gt;0,-PMT($G8/100,$I8,$E8),$E8*$G8/100)))))</x:f>
      </x:c>
    </x:row>
    <x:row r="9" ht="16.5" customHeight="1">
      <x:c r="A9" s="40"/>
      <x:c r="B9" s="41"/>
      <x:c r="C9" s="40"/>
      <x:c r="D9" s="40"/>
      <x:c r="E9" s="49"/>
      <x:c r="F9" s="49"/>
      <x:c r="G9" s="42"/>
      <x:c r="H9" s="41"/>
      <x:c r="I9" s="43"/>
      <x:c r="J9" s="49"/>
      <x:c r="K9" s="41"/>
      <x:c r="L9" s="182" t="str">
        <x:f t="shared" si="0">IF($A9="","",IF($J9&lt;&gt;"",$J9,IF(OR($E9="",$G9=""),"",IF($H9="Interest only",$E9*$G9/100,IF($I9&gt;0,-PMT($G9/100,$I9,$E9),$E9*$G9/100)))))</x:f>
      </x:c>
    </x:row>
    <x:row r="10" ht="16.5" customHeight="1">
      <x:c r="A10" s="36"/>
      <x:c r="B10" s="37"/>
      <x:c r="C10" s="36"/>
      <x:c r="D10" s="36"/>
      <x:c r="E10" s="47"/>
      <x:c r="F10" s="47"/>
      <x:c r="G10" s="38"/>
      <x:c r="H10" s="37"/>
      <x:c r="I10" s="39"/>
      <x:c r="J10" s="47"/>
      <x:c r="K10" s="37"/>
      <x:c r="L10" s="182" t="str">
        <x:f t="shared" si="0">IF($A10="","",IF($J10&lt;&gt;"",$J10,IF(OR($E10="",$G10=""),"",IF($H10="Interest only",$E10*$G10/100,IF($I10&gt;0,-PMT($G10/100,$I10,$E10),$E10*$G10/100)))))</x:f>
      </x:c>
    </x:row>
    <x:row r="11" ht="16.5" customHeight="1">
      <x:c r="A11" s="40"/>
      <x:c r="B11" s="41"/>
      <x:c r="C11" s="40"/>
      <x:c r="D11" s="40"/>
      <x:c r="E11" s="49"/>
      <x:c r="F11" s="49"/>
      <x:c r="G11" s="42"/>
      <x:c r="H11" s="41"/>
      <x:c r="I11" s="43"/>
      <x:c r="J11" s="49"/>
      <x:c r="K11" s="41"/>
      <x:c r="L11" s="182" t="str">
        <x:f t="shared" si="0">IF($A11="","",IF($J11&lt;&gt;"",$J11,IF(OR($E11="",$G11=""),"",IF($H11="Interest only",$E11*$G11/100,IF($I11&gt;0,-PMT($G11/100,$I11,$E11),$E11*$G11/100)))))</x:f>
      </x:c>
    </x:row>
    <x:row r="12" ht="16.5" customHeight="1">
      <x:c r="A12" s="36"/>
      <x:c r="B12" s="37"/>
      <x:c r="C12" s="36"/>
      <x:c r="D12" s="36"/>
      <x:c r="E12" s="47"/>
      <x:c r="F12" s="47"/>
      <x:c r="G12" s="38"/>
      <x:c r="H12" s="37"/>
      <x:c r="I12" s="39"/>
      <x:c r="J12" s="47"/>
      <x:c r="K12" s="37"/>
      <x:c r="L12" s="182" t="str">
        <x:f t="shared" si="0">IF($A12="","",IF($J12&lt;&gt;"",$J12,IF(OR($E12="",$G12=""),"",IF($H12="Interest only",$E12*$G12/100,IF($I12&gt;0,-PMT($G12/100,$I12,$E12),$E12*$G12/100)))))</x:f>
      </x:c>
    </x:row>
    <x:row r="13" ht="16.5" customHeight="1">
      <x:c r="A13" s="40"/>
      <x:c r="B13" s="41"/>
      <x:c r="C13" s="40"/>
      <x:c r="D13" s="40"/>
      <x:c r="E13" s="49"/>
      <x:c r="F13" s="49"/>
      <x:c r="G13" s="42"/>
      <x:c r="H13" s="41"/>
      <x:c r="I13" s="43"/>
      <x:c r="J13" s="49"/>
      <x:c r="K13" s="41"/>
      <x:c r="L13" s="182" t="str">
        <x:f t="shared" si="0">IF($A13="","",IF($J13&lt;&gt;"",$J13,IF(OR($E13="",$G13=""),"",IF($H13="Interest only",$E13*$G13/100,IF($I13&gt;0,-PMT($G13/100,$I13,$E13),$E13*$G13/100)))))</x:f>
      </x:c>
    </x:row>
    <x:row r="14" ht="16.5" customHeight="1">
      <x:c r="A14" s="36"/>
      <x:c r="B14" s="37"/>
      <x:c r="C14" s="36"/>
      <x:c r="D14" s="36"/>
      <x:c r="E14" s="47"/>
      <x:c r="F14" s="47"/>
      <x:c r="G14" s="38"/>
      <x:c r="H14" s="37"/>
      <x:c r="I14" s="39"/>
      <x:c r="J14" s="47"/>
      <x:c r="K14" s="37"/>
      <x:c r="L14" s="182" t="str">
        <x:f t="shared" si="0">IF($A14="","",IF($J14&lt;&gt;"",$J14,IF(OR($E14="",$G14=""),"",IF($H14="Interest only",$E14*$G14/100,IF($I14&gt;0,-PMT($G14/100,$I14,$E14),$E14*$G14/100)))))</x:f>
      </x:c>
    </x:row>
    <x:row r="15" ht="16.5" customHeight="1">
      <x:c r="A15" s="40"/>
      <x:c r="B15" s="41"/>
      <x:c r="C15" s="40"/>
      <x:c r="D15" s="40"/>
      <x:c r="E15" s="49"/>
      <x:c r="F15" s="49"/>
      <x:c r="G15" s="42"/>
      <x:c r="H15" s="41"/>
      <x:c r="I15" s="43"/>
      <x:c r="J15" s="49"/>
      <x:c r="K15" s="41"/>
      <x:c r="L15" s="182" t="str">
        <x:f t="shared" si="0">IF($A15="","",IF($J15&lt;&gt;"",$J15,IF(OR($E15="",$G15=""),"",IF($H15="Interest only",$E15*$G15/100,IF($I15&gt;0,-PMT($G15/100,$I15,$E15),$E15*$G15/100)))))</x:f>
      </x:c>
    </x:row>
    <x:row r="16" ht="16.5" customHeight="1">
      <x:c r="A16" s="36"/>
      <x:c r="B16" s="37"/>
      <x:c r="C16" s="36"/>
      <x:c r="D16" s="36"/>
      <x:c r="E16" s="47"/>
      <x:c r="F16" s="47"/>
      <x:c r="G16" s="38"/>
      <x:c r="H16" s="37"/>
      <x:c r="I16" s="39"/>
      <x:c r="J16" s="47"/>
      <x:c r="K16" s="37"/>
      <x:c r="L16" s="182" t="str">
        <x:f t="shared" si="0">IF($A16="","",IF($J16&lt;&gt;"",$J16,IF(OR($E16="",$G16=""),"",IF($H16="Interest only",$E16*$G16/100,IF($I16&gt;0,-PMT($G16/100,$I16,$E16),$E16*$G16/100)))))</x:f>
      </x:c>
    </x:row>
    <x:row r="17" ht="16.5" customHeight="1">
      <x:c r="A17" s="40"/>
      <x:c r="B17" s="41"/>
      <x:c r="C17" s="40"/>
      <x:c r="D17" s="40"/>
      <x:c r="E17" s="49"/>
      <x:c r="F17" s="49"/>
      <x:c r="G17" s="42"/>
      <x:c r="H17" s="41"/>
      <x:c r="I17" s="43"/>
      <x:c r="J17" s="49"/>
      <x:c r="K17" s="41"/>
      <x:c r="L17" s="182" t="str">
        <x:f t="shared" si="0">IF($A17="","",IF($J17&lt;&gt;"",$J17,IF(OR($E17="",$G17=""),"",IF($H17="Interest only",$E17*$G17/100,IF($I17&gt;0,-PMT($G17/100,$I17,$E17),$E17*$G17/100)))))</x:f>
      </x:c>
    </x:row>
    <x:row r="19">
      <x:c r="A19" s="6" t="s">
        <x:v>174</x:v>
      </x:c>
    </x:row>
    <x:row r="20">
      <x:c r="A20" s="44" t="s">
        <x:v>241</x:v>
      </x:c>
    </x:row>
    <x:row r="21">
      <x:c r="A21" s="44" t="s">
        <x:v>242</x:v>
      </x:c>
    </x:row>
    <x:row r="22">
      <x:c r="A22" s="45" t="s">
        <x:v>177</x:v>
      </x:c>
    </x:row>
  </x:sheetData>
  <x:mergeCells>
    <x:mergeCell ref="A1:K1"/>
    <x:mergeCell ref="A2:K2"/>
  </x:mergeCells>
  <x:dataValidations count="3">
    <x:dataValidation type="list" allowBlank="1" errorTitle="Not on the list" error="Choose one of the listed options, or leave the cell blank." promptTitle="Select an option" prompt="Home loan / Investment loan / Commercial facility / Equipment finance / Vehicle finance / Credit card / Overdraft / Line of credit / Tax debt / Lease / Guarantee / Contingent liability / Private debt / HECS / HELP / Other" sqref="B4:B17">
      <x:formula1>"Home loan,Investment loan,Commercial facility,Equipment finance,Vehicle finance,Credit card,Overdraft,Line of credit,Tax debt,Lease,Guarantee,Contingent liability,Private debt,HECS / HELP,Other"</x:formula1>
      <x:formula2>0</x:formula2>
    </x:dataValidation>
    <x:dataValidation type="list" allowBlank="1" errorTitle="Not on the list" error="Choose one of the listed options, or leave the cell blank." promptTitle="Select an option" prompt="Principal and interest / Interest only / Residual / balloon" sqref="H4:H17">
      <x:formula1>"Principal and interest,Interest only,Residual / balloon"</x:formula1>
      <x:formula2>0</x:formula2>
    </x:dataValidation>
    <x:dataValidation type="list" allowBlank="1" errorTitle="Not on the list" error="Choose one of the listed options, or leave the cell blank." promptTitle="Select an option" prompt="Yes / No" sqref="K4:K17">
      <x:formula1>"Yes,No"</x:formula1>
      <x:formula2>0</x:formula2>
    </x:dataValidation>
  </x:dataValidations>
  <x:pageMargins left="0.7" right="0.7" top="0.75" bottom="0.75" header="0.3" footer="0.3"/>
</x:worksheet>
</file>

<file path=xl/worksheets/sheet10.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30" customWidth="1"/>
    <x:col min="2" max="2" width="15" customWidth="1"/>
    <x:col min="3" max="3" width="11" customWidth="1"/>
    <x:col min="4" max="5" width="13" customWidth="1"/>
    <x:col min="6" max="7" width="12" customWidth="1"/>
    <x:col min="8" max="9" width="22" customWidth="1"/>
  </x:cols>
  <x:sheetData>
    <x:row r="1" ht="21.75" customHeight="1">
      <x:c r="A1" s="2" t="s">
        <x:v>243</x:v>
      </x:c>
      <x:c r="B1" s="2"/>
      <x:c r="C1" s="2"/>
      <x:c r="D1" s="2"/>
      <x:c r="E1" s="2"/>
      <x:c r="F1" s="2"/>
      <x:c r="G1" s="2"/>
      <x:c r="H1" s="2"/>
      <x:c r="I1" s="2"/>
    </x:row>
    <x:row r="2" ht="25.5" customHeight="1">
      <x:c r="A2" s="3" t="s">
        <x:v>244</x:v>
      </x:c>
      <x:c r="B2" s="3"/>
      <x:c r="C2" s="3"/>
      <x:c r="D2" s="3"/>
      <x:c r="E2" s="3"/>
      <x:c r="F2" s="3"/>
      <x:c r="G2" s="3"/>
      <x:c r="H2" s="3"/>
      <x:c r="I2" s="3"/>
    </x:row>
    <x:row r="3" ht="30" customHeight="1">
      <x:c r="A3" s="25" t="s">
        <x:v>245</x:v>
      </x:c>
      <x:c r="B3" s="25" t="s">
        <x:v>246</x:v>
      </x:c>
      <x:c r="C3" s="25" t="s">
        <x:v>247</x:v>
      </x:c>
      <x:c r="D3" s="25" t="s">
        <x:v>248</x:v>
      </x:c>
      <x:c r="E3" s="25" t="s">
        <x:v>249</x:v>
      </x:c>
      <x:c r="F3" s="25" t="s">
        <x:v>250</x:v>
      </x:c>
      <x:c r="G3" s="25" t="s">
        <x:v>251</x:v>
      </x:c>
      <x:c r="H3" s="25" t="s">
        <x:v>252</x:v>
      </x:c>
      <x:c r="I3" s="25" t="s">
        <x:v>253</x:v>
      </x:c>
    </x:row>
    <x:row r="4" ht="16.5" customHeight="1">
      <x:c r="A4" s="148" t="str">
        <x:v>Atlas Cold Chain Pty Ltd</x:v>
      </x:c>
      <x:c r="B4" s="173" t="n">
        <x:v>255000</x:v>
      </x:c>
      <x:c r="C4" s="186" t="n">
        <x:v>1800</x:v>
      </x:c>
      <x:c r="D4" s="172" t="n">
        <x:v>45200</x:v>
      </x:c>
      <x:c r="E4" s="172" t="n">
        <x:v>47756</x:v>
      </x:c>
      <x:c r="F4" s="151" t="n">
        <x:v>5</x:v>
      </x:c>
      <x:c r="G4" s="150" t="n">
        <x:v>3.25</x:v>
      </x:c>
      <x:c r="H4" s="149" t="str">
        <x:v>National tenant</x:v>
      </x:c>
      <x:c r="I4" s="149" t="str">
        <x:v>Verified</x:v>
      </x:c>
    </x:row>
    <x:row r="5" ht="16.5" customHeight="1">
      <x:c r="A5" s="152" t="str">
        <x:v>Nova Equipment Services Pty Ltd</x:v>
      </x:c>
      <x:c r="B5" s="175" t="n">
        <x:v>168000</x:v>
      </x:c>
      <x:c r="C5" s="187" t="n">
        <x:v>1440</x:v>
      </x:c>
      <x:c r="D5" s="174" t="n">
        <x:v>45717</x:v>
      </x:c>
      <x:c r="E5" s="174" t="n">
        <x:v>47177</x:v>
      </x:c>
      <x:c r="F5" s="155" t="n">
        <x:v>3</x:v>
      </x:c>
      <x:c r="G5" s="154" t="n">
        <x:v>3</x:v>
      </x:c>
      <x:c r="H5" s="153" t="str">
        <x:v>Established SME</x:v>
      </x:c>
      <x:c r="I5" s="153" t="str">
        <x:v>Verified</x:v>
      </x:c>
    </x:row>
    <x:row r="6" ht="16.5" customHeight="1">
      <x:c r="A6" s="36"/>
      <x:c r="B6" s="47"/>
      <x:c r="C6" s="52"/>
      <x:c r="D6" s="46"/>
      <x:c r="E6" s="46"/>
      <x:c r="F6" s="39"/>
      <x:c r="G6" s="38"/>
      <x:c r="H6" s="37"/>
      <x:c r="I6" s="37"/>
    </x:row>
    <x:row r="7" ht="16.5" customHeight="1">
      <x:c r="A7" s="40"/>
      <x:c r="B7" s="49"/>
      <x:c r="C7" s="53"/>
      <x:c r="D7" s="48"/>
      <x:c r="E7" s="48"/>
      <x:c r="F7" s="43"/>
      <x:c r="G7" s="42"/>
      <x:c r="H7" s="41"/>
      <x:c r="I7" s="41"/>
    </x:row>
    <x:row r="8" ht="16.5" customHeight="1">
      <x:c r="A8" s="36"/>
      <x:c r="B8" s="47"/>
      <x:c r="C8" s="52"/>
      <x:c r="D8" s="46"/>
      <x:c r="E8" s="46"/>
      <x:c r="F8" s="39"/>
      <x:c r="G8" s="38"/>
      <x:c r="H8" s="37"/>
      <x:c r="I8" s="37"/>
    </x:row>
    <x:row r="9" ht="16.5" customHeight="1">
      <x:c r="A9" s="40"/>
      <x:c r="B9" s="49"/>
      <x:c r="C9" s="53"/>
      <x:c r="D9" s="48"/>
      <x:c r="E9" s="48"/>
      <x:c r="F9" s="43"/>
      <x:c r="G9" s="42"/>
      <x:c r="H9" s="41"/>
      <x:c r="I9" s="41"/>
    </x:row>
    <x:row r="10" ht="16.5" customHeight="1">
      <x:c r="A10" s="36"/>
      <x:c r="B10" s="47"/>
      <x:c r="C10" s="52"/>
      <x:c r="D10" s="46"/>
      <x:c r="E10" s="46"/>
      <x:c r="F10" s="39"/>
      <x:c r="G10" s="38"/>
      <x:c r="H10" s="37"/>
      <x:c r="I10" s="37"/>
    </x:row>
    <x:row r="11" ht="16.5" customHeight="1">
      <x:c r="A11" s="40"/>
      <x:c r="B11" s="49"/>
      <x:c r="C11" s="53"/>
      <x:c r="D11" s="48"/>
      <x:c r="E11" s="48"/>
      <x:c r="F11" s="43"/>
      <x:c r="G11" s="42"/>
      <x:c r="H11" s="41"/>
      <x:c r="I11" s="41"/>
    </x:row>
    <x:row r="12" ht="16.5" customHeight="1">
      <x:c r="A12" s="36"/>
      <x:c r="B12" s="47"/>
      <x:c r="C12" s="52"/>
      <x:c r="D12" s="46"/>
      <x:c r="E12" s="46"/>
      <x:c r="F12" s="39"/>
      <x:c r="G12" s="38"/>
      <x:c r="H12" s="37"/>
      <x:c r="I12" s="37"/>
    </x:row>
    <x:row r="13" ht="16.5" customHeight="1">
      <x:c r="A13" s="40"/>
      <x:c r="B13" s="49"/>
      <x:c r="C13" s="53"/>
      <x:c r="D13" s="48"/>
      <x:c r="E13" s="48"/>
      <x:c r="F13" s="43"/>
      <x:c r="G13" s="42"/>
      <x:c r="H13" s="41"/>
      <x:c r="I13" s="41"/>
    </x:row>
    <x:row r="14" ht="16.5" customHeight="1">
      <x:c r="A14" s="36"/>
      <x:c r="B14" s="47"/>
      <x:c r="C14" s="52"/>
      <x:c r="D14" s="46"/>
      <x:c r="E14" s="46"/>
      <x:c r="F14" s="39"/>
      <x:c r="G14" s="38"/>
      <x:c r="H14" s="37"/>
      <x:c r="I14" s="37"/>
    </x:row>
    <x:row r="15" ht="16.5" customHeight="1">
      <x:c r="A15" s="40"/>
      <x:c r="B15" s="49"/>
      <x:c r="C15" s="53"/>
      <x:c r="D15" s="48"/>
      <x:c r="E15" s="48"/>
      <x:c r="F15" s="43"/>
      <x:c r="G15" s="42"/>
      <x:c r="H15" s="41"/>
      <x:c r="I15" s="41"/>
    </x:row>
    <x:row r="16" ht="16.5" customHeight="1">
      <x:c r="A16" s="36"/>
      <x:c r="B16" s="47"/>
      <x:c r="C16" s="52"/>
      <x:c r="D16" s="46"/>
      <x:c r="E16" s="46"/>
      <x:c r="F16" s="39"/>
      <x:c r="G16" s="38"/>
      <x:c r="H16" s="37"/>
      <x:c r="I16" s="37"/>
    </x:row>
    <x:row r="17" ht="16.5" customHeight="1">
      <x:c r="A17" s="40"/>
      <x:c r="B17" s="49"/>
      <x:c r="C17" s="53"/>
      <x:c r="D17" s="48"/>
      <x:c r="E17" s="48"/>
      <x:c r="F17" s="43"/>
      <x:c r="G17" s="42"/>
      <x:c r="H17" s="41"/>
      <x:c r="I17" s="41"/>
    </x:row>
    <x:row r="19">
      <x:c r="A19" s="6" t="s">
        <x:v>174</x:v>
      </x:c>
    </x:row>
    <x:row r="20">
      <x:c r="A20" s="45" t="s">
        <x:v>177</x:v>
      </x:c>
    </x:row>
  </x:sheetData>
  <x:mergeCells>
    <x:mergeCell ref="A1:I1"/>
    <x:mergeCell ref="A2:I2"/>
  </x:mergeCells>
  <x:dataValidations count="2">
    <x:dataValidation type="list" allowBlank="1" errorTitle="Not on the list" error="Choose one of the listed options, or leave the cell blank." promptTitle="Select an option" prompt="Government / National tenant / Listed company / Established SME / New business / Related party / Not yet known" sqref="H4:H17">
      <x:formula1>"Government,National tenant,Listed company,Established SME,New business,Related party,Not yet known"</x:formula1>
      <x:formula2>0</x:formula2>
    </x:dataValidation>
    <x:dataValidation type="list" allowBlank="1" errorTitle="Not on the list" error="Choose one of the listed options, or leave the cell blank." promptTitle="Select an option" prompt="Not verified / Documents held, not checked / Verified" sqref="I4:I17">
      <x:formula1>"Not verified,Documents held,not checked,Verified"</x:formula1>
      <x:formula2>0</x:formula2>
    </x:dataValidation>
  </x:dataValidations>
  <x:pageMargins left="0.7" right="0.7" top="0.75" bottom="0.75" header="0.3" footer="0.3"/>
</x:worksheet>
</file>

<file path=xl/worksheets/sheet11.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62" customWidth="1"/>
    <x:col min="2" max="2" width="30" customWidth="1"/>
    <x:col min="3" max="3" width="58" customWidth="1"/>
  </x:cols>
  <x:sheetData>
    <x:row r="1" ht="21.75" customHeight="1">
      <x:c r="A1" s="2" t="s">
        <x:v>254</x:v>
      </x:c>
      <x:c r="B1" s="2"/>
      <x:c r="C1" s="2"/>
    </x:row>
    <x:row r="2" ht="25.5" customHeight="1">
      <x:c r="A2" s="3" t="s">
        <x:v>255</x:v>
      </x:c>
      <x:c r="B2" s="3"/>
      <x:c r="C2" s="3"/>
    </x:row>
    <x:row r="3" ht="19.5" customHeight="1">
      <x:c r="A3" s="25" t="s">
        <x:v>102</x:v>
      </x:c>
      <x:c r="B3" s="25" t="s">
        <x:v>103</x:v>
      </x:c>
      <x:c r="C3" s="25" t="s">
        <x:v>104</x:v>
      </x:c>
    </x:row>
    <x:row r="4" ht="24">
      <x:c r="A4" s="26" t="s">
        <x:v>256</x:v>
      </x:c>
      <x:c r="B4" s="134" t="str">
        <x:v>Net — tenant pays outgoings</x:v>
      </x:c>
      <x:c r="C4" s="28" t="s">
        <x:v>257</x:v>
      </x:c>
    </x:row>
    <x:row r="5">
      <x:c r="A5" s="31" t="s">
        <x:v>258</x:v>
      </x:c>
      <x:c r="B5" s="136" t="n">
        <x:v>92000</x:v>
      </x:c>
      <x:c r="C5" s="28" t="s">
        <x:v>120</x:v>
      </x:c>
    </x:row>
    <x:row r="6">
      <x:c r="A6" s="31" t="s">
        <x:v>259</x:v>
      </x:c>
      <x:c r="B6" s="136" t="n">
        <x:v>18500</x:v>
      </x:c>
      <x:c r="C6" s="28" t="s">
        <x:v>120</x:v>
      </x:c>
    </x:row>
    <x:row r="7">
      <x:c r="A7" s="31" t="s">
        <x:v>260</x:v>
      </x:c>
      <x:c r="B7" s="190" t="n">
        <x:v>3</x:v>
      </x:c>
      <x:c r="C7" s="28" t="s">
        <x:v>120</x:v>
      </x:c>
    </x:row>
    <x:row r="8">
      <x:c r="A8" s="31" t="s">
        <x:v>261</x:v>
      </x:c>
      <x:c r="B8" s="190" t="n">
        <x:v>2</x:v>
      </x:c>
      <x:c r="C8" s="28" t="s">
        <x:v>120</x:v>
      </x:c>
    </x:row>
    <x:row r="9">
      <x:c r="A9" s="31" t="s">
        <x:v>262</x:v>
      </x:c>
      <x:c r="B9" s="136" t="n">
        <x:v>445000</x:v>
      </x:c>
      <x:c r="C9" s="28" t="s">
        <x:v>120</x:v>
      </x:c>
    </x:row>
    <x:row r="10">
      <x:c r="A10" s="31" t="s">
        <x:v>263</x:v>
      </x:c>
      <x:c r="B10" s="138" t="str">
        <x:v>None. Both leases are currently income-producing with no active incentive period.</x:v>
      </x:c>
      <x:c r="C10" s="28" t="s">
        <x:v>120</x:v>
      </x:c>
    </x:row>
  </x:sheetData>
  <x:mergeCells>
    <x:mergeCell ref="A1:C1"/>
    <x:mergeCell ref="A2:C2"/>
  </x:mergeCells>
  <x:conditionalFormatting sqref="B4:B10">
    <x:cfRule type="expression" dxfId="1" priority="2">
      <x:formula>AND(LEN($A4)&gt;0,ISNUMBER(SEARCH("✱",$A4)),LEN(TRIM($B4))=0)</x:formula>
    </x:cfRule>
  </x:conditionalFormatting>
  <x:dataValidations count="1">
    <x:dataValidation type="list" allowBlank="1" errorTitle="Not on the list" error="Choose one of the listed options, or leave the cell blank." promptTitle="Select an option" prompt="Net — tenant pays outgoings / Gross — landlord pays outgoings / Semi-gross" sqref="B4">
      <x:formula1>"Net — tenant pays outgoings,Gross — landlord pays outgoings,Semi-gross"</x:formula1>
      <x:formula2>0</x:formula2>
    </x:dataValidation>
  </x:dataValidations>
  <x:pageMargins left="0.7" right="0.7" top="0.75" bottom="0.75" header="0.3" footer="0.3"/>
</x:worksheet>
</file>

<file path=xl/worksheets/sheet12.xml><?xml version="1.0" encoding="utf-8"?>
<x:worksheet xmlns:x="http://schemas.openxmlformats.org/spreadsheetml/2006/main">
  <x:sheetPr>
    <x:tabColor rgb="FF5C3F1F"/>
  </x:sheetPr>
  <x:sheetViews>
    <x:sheetView showGridLines="0" workbookViewId="0"/>
  </x:sheetViews>
  <x:sheetFormatPr defaultColWidth="8.6328125" defaultRowHeight="14.5"/>
  <x:cols>
    <x:col min="1" max="1" width="62" customWidth="1"/>
    <x:col min="2" max="2" width="30" customWidth="1"/>
    <x:col min="3" max="3" width="58" customWidth="1"/>
  </x:cols>
  <x:sheetData>
    <x:row r="1" ht="21.75" customHeight="1">
      <x:c r="A1" s="2" t="s">
        <x:v>264</x:v>
      </x:c>
      <x:c r="B1" s="2"/>
      <x:c r="C1" s="2"/>
    </x:row>
    <x:row r="2" ht="25.5" customHeight="1">
      <x:c r="A2" s="3" t="s">
        <x:v>265</x:v>
      </x:c>
      <x:c r="B2" s="3"/>
      <x:c r="C2" s="3"/>
    </x:row>
    <x:row r="3" ht="19.5" customHeight="1">
      <x:c r="A3" s="25" t="s">
        <x:v>102</x:v>
      </x:c>
      <x:c r="B3" s="25" t="s">
        <x:v>103</x:v>
      </x:c>
      <x:c r="C3" s="25" t="s">
        <x:v>104</x:v>
      </x:c>
    </x:row>
    <x:row r="4">
      <x:c r="A4" s="31" t="s">
        <x:v>266</x:v>
      </x:c>
      <x:c r="B4" s="134" t="str">
        <x:v>Yes</x:v>
      </x:c>
      <x:c r="C4" s="28" t="s">
        <x:v>157</x:v>
      </x:c>
    </x:row>
    <x:row r="5">
      <x:c r="A5" s="31" t="s">
        <x:v>267</x:v>
      </x:c>
      <x:c r="B5" s="135" t="str">
        <x:v>Settlement required by 30/09/2026; credit approval targeted by 04/09/2026.</x:v>
      </x:c>
      <x:c r="C5" s="28" t="s">
        <x:v>120</x:v>
      </x:c>
    </x:row>
    <x:row r="6">
      <x:c r="A6" s="31" t="s">
        <x:v>268</x:v>
      </x:c>
      <x:c r="B6" s="135" t="str">
        <x:v>Indicative discussions only with National Australia Bank and Bankwest; no formal application lodged.</x:v>
      </x:c>
      <x:c r="C6" s="28" t="s">
        <x:v>120</x:v>
      </x:c>
    </x:row>
    <x:row r="7">
      <x:c r="A7" s="31" t="s">
        <x:v>269</x:v>
      </x:c>
      <x:c r="B7" s="135" t="str">
        <x:v>Maya Collins, Meridian Commercial Advisory, is coordinating the fact-find and lender submission.</x:v>
      </x:c>
      <x:c r="C7" s="28" t="s">
        <x:v>120</x:v>
      </x:c>
    </x:row>
    <x:row r="8">
      <x:c r="A8" s="31" t="s">
        <x:v>270</x:v>
      </x:c>
      <x:c r="B8" s="135" t="str">
        <x:v>Confirm valuation and lease reliance; verify going-concern GST treatment; complete environmental and building due diligence; maintain standalone security with no cross-collateralisation; target maximum 70% LVR.</x:v>
      </x:c>
      <x:c r="C8" s="28" t="s">
        <x:v>120</x:v>
      </x:c>
    </x:row>
    <x:row r="9">
      <x:c r="A9" s="31" t="s">
        <x:v>271</x:v>
      </x:c>
      <x:c r="B9" s="135" t="str">
        <x:v>Olivia Bennett — 0400 000 014 — olivia.bennett@example.com</x:v>
      </x:c>
      <x:c r="C9" s="28" t="s">
        <x:v>120</x:v>
      </x:c>
    </x:row>
    <x:row r="12">
      <x:c r="A12" s="6" t="s">
        <x:v>272</x:v>
      </x:c>
    </x:row>
    <x:row r="13">
      <x:c r="A13" s="25" t="s">
        <x:v>273</x:v>
      </x:c>
      <x:c r="B13" s="25" t="s">
        <x:v>274</x:v>
      </x:c>
      <x:c r="C13" s="25" t="s">
        <x:v>275</x:v>
      </x:c>
    </x:row>
    <x:row r="14">
      <x:c r="A14" s="31" t="s">
        <x:v>276</x:v>
      </x:c>
      <x:c r="B14" s="194" t="str">
        <x:v>Yes</x:v>
      </x:c>
      <x:c r="C14" s="119" t="n">
        <x:v>46226</x:v>
      </x:c>
    </x:row>
    <x:row r="15">
      <x:c r="A15" s="31" t="s">
        <x:v>277</x:v>
      </x:c>
      <x:c r="B15" s="194" t="str">
        <x:v>Yes</x:v>
      </x:c>
      <x:c r="C15" s="119" t="n">
        <x:v>46227</x:v>
      </x:c>
    </x:row>
    <x:row r="16">
      <x:c r="A16" s="31" t="s">
        <x:v>278</x:v>
      </x:c>
      <x:c r="B16" s="194" t="str">
        <x:v>Yes</x:v>
      </x:c>
      <x:c r="C16" s="119" t="n">
        <x:v>46228</x:v>
      </x:c>
    </x:row>
    <x:row r="17">
      <x:c r="A17" s="31" t="s">
        <x:v>279</x:v>
      </x:c>
      <x:c r="B17" s="194" t="str">
        <x:v>Yes</x:v>
      </x:c>
      <x:c r="C17" s="119" t="n">
        <x:v>46228</x:v>
      </x:c>
    </x:row>
    <x:row r="18">
      <x:c r="A18" s="31" t="s">
        <x:v>280</x:v>
      </x:c>
      <x:c r="B18" s="194" t="str">
        <x:v>Yes</x:v>
      </x:c>
      <x:c r="C18" s="119" t="n">
        <x:v>46229</x:v>
      </x:c>
    </x:row>
    <x:row r="19">
      <x:c r="A19" s="31" t="s">
        <x:v>281</x:v>
      </x:c>
      <x:c r="B19" s="194" t="str">
        <x:v>Yes</x:v>
      </x:c>
      <x:c r="C19" s="119" t="n">
        <x:v>46229</x:v>
      </x:c>
    </x:row>
    <x:row r="20">
      <x:c r="A20" s="31" t="s">
        <x:v>282</x:v>
      </x:c>
      <x:c r="B20" s="194" t="str">
        <x:v>Yes</x:v>
      </x:c>
      <x:c r="C20" s="119" t="n">
        <x:v>46230</x:v>
      </x:c>
    </x:row>
    <x:row r="21">
      <x:c r="A21" s="31" t="s">
        <x:v>283</x:v>
      </x:c>
      <x:c r="B21" s="194" t="str">
        <x:v>Yes</x:v>
      </x:c>
      <x:c r="C21" s="119" t="n">
        <x:v>46230</x:v>
      </x:c>
    </x:row>
    <x:row r="22">
      <x:c r="A22" s="31" t="s">
        <x:v>284</x:v>
      </x:c>
      <x:c r="B22" s="194" t="str">
        <x:v>Yes</x:v>
      </x:c>
      <x:c r="C22" s="119" t="n">
        <x:v>46231</x:v>
      </x:c>
    </x:row>
    <x:row r="23" ht="25">
      <x:c r="A23" s="31" t="s">
        <x:v>285</x:v>
      </x:c>
      <x:c r="B23" s="194" t="str">
        <x:v>N/A</x:v>
      </x:c>
      <x:c r="C23" s="119" t="str">
        <x:v>Not applicable — no development or change of use proposed</x:v>
      </x:c>
    </x:row>
    <x:row r="24">
      <x:c r="A24" s="31" t="s">
        <x:v>286</x:v>
      </x:c>
      <x:c r="B24" s="194" t="str">
        <x:v>Yes</x:v>
      </x:c>
      <x:c r="C24" s="119" t="n">
        <x:v>46232</x:v>
      </x:c>
    </x:row>
    <x:row r="26">
      <x:c r="A26" s="6" t="s">
        <x:v>287</x:v>
      </x:c>
    </x:row>
    <x:row r="27" ht="15" customHeight="1">
      <x:c r="A27" s="5" t="s">
        <x:v>288</x:v>
      </x:c>
      <x:c r="B27" s="5"/>
      <x:c r="C27" s="5"/>
    </x:row>
    <x:row r="28">
      <x:c r="A28" s="5"/>
      <x:c r="B28" s="5"/>
      <x:c r="C28" s="5"/>
    </x:row>
    <x:row r="30" ht="15" customHeight="1">
      <x:c r="A30" s="5" t="s">
        <x:v>289</x:v>
      </x:c>
      <x:c r="B30" s="5"/>
      <x:c r="C30" s="5"/>
    </x:row>
    <x:row r="31">
      <x:c r="A31" s="5"/>
      <x:c r="B31" s="5"/>
      <x:c r="C31" s="5"/>
    </x:row>
    <x:row r="33" ht="18" customHeight="1">
      <x:c r="A33" s="9" t="s">
        <x:v>290</x:v>
      </x:c>
      <x:c r="B33" s="118" t="str">
        <x:v>Olivia Bennett</x:v>
      </x:c>
      <x:c r="C33" s="1"/>
    </x:row>
    <x:row r="34" ht="18" customHeight="1">
      <x:c r="A34" s="9" t="s">
        <x:v>291</x:v>
      </x:c>
      <x:c r="B34" s="118" t="str">
        <x:v>Director and authorised representative of the trustee</x:v>
      </x:c>
      <x:c r="C34" s="1"/>
    </x:row>
    <x:row r="35" ht="18" customHeight="1">
      <x:c r="A35" s="9" t="s">
        <x:v>292</x:v>
      </x:c>
      <x:c r="B35" s="118" t="str">
        <x:v>Electronic signature on file — fictional mock data</x:v>
      </x:c>
      <x:c r="C35" s="1"/>
    </x:row>
    <x:row r="36" ht="18" customHeight="1">
      <x:c r="A36" s="9" t="s">
        <x:v>293</x:v>
      </x:c>
      <x:c r="B36" s="119" t="n">
        <x:v>46234</x:v>
      </x:c>
      <x:c r="C36" s="1"/>
    </x:row>
    <x:row r="37" ht="18" customHeight="1">
      <x:c r="A37" s="9" t="s">
        <x:v>294</x:v>
      </x:c>
      <x:c r="B37" s="118" t="str">
        <x:v>Maya Collins</x:v>
      </x:c>
      <x:c r="C37" s="1"/>
    </x:row>
    <x:row r="38" ht="18" customHeight="1">
      <x:c r="A38" s="9" t="s">
        <x:v>295</x:v>
      </x:c>
      <x:c r="B38" s="118" t="str">
        <x:v>Electronic adviser signature on file — fictional mock data</x:v>
      </x:c>
      <x:c r="C38" s="1"/>
    </x:row>
    <x:row r="39" ht="18" customHeight="1">
      <x:c r="A39" s="9" t="s">
        <x:v>293</x:v>
      </x:c>
      <x:c r="B39" s="119" t="n">
        <x:v>46234</x:v>
      </x:c>
      <x:c r="C39" s="1"/>
    </x:row>
    <x:row r="41" ht="15" customHeight="1">
      <x:c r="A41" s="4" t="s">
        <x:v>37</x:v>
      </x:c>
      <x:c r="B41" s="4"/>
      <x:c r="C41" s="196" t="str">
        <x:v>FICTIONAL TEST DATA ONLY — NOT A CREDIT APPLICATION</x:v>
      </x:c>
    </x:row>
    <x:row r="42">
      <x:c r="A42" s="4"/>
      <x:c r="B42" s="4"/>
      <x:c r="C42" s="4"/>
    </x:row>
  </x:sheetData>
  <x:mergeCells>
    <x:mergeCell ref="B39:C39"/>
    <x:mergeCell ref="A41:C42"/>
    <x:mergeCell ref="B34:C34"/>
    <x:mergeCell ref="B35:C35"/>
    <x:mergeCell ref="B36:C36"/>
    <x:mergeCell ref="B37:C37"/>
    <x:mergeCell ref="B38:C38"/>
    <x:mergeCell ref="A1:C1"/>
    <x:mergeCell ref="A2:C2"/>
    <x:mergeCell ref="A27:C28"/>
    <x:mergeCell ref="A30:C31"/>
    <x:mergeCell ref="B33:C33"/>
  </x:mergeCells>
  <x:conditionalFormatting sqref="B4:B9">
    <x:cfRule type="expression" dxfId="0" priority="2">
      <x:formula>AND(LEN($A4)&gt;0,ISNUMBER(SEARCH("✱",$A4)),LEN(TRIM($B4))=0)</x:formula>
    </x:cfRule>
  </x:conditionalFormatting>
  <x:dataValidations count="2">
    <x:dataValidation type="list" allowBlank="1" errorTitle="Not on the list" error="Choose one of the listed options, or leave the cell blank." promptTitle="Select an option" prompt="Yes / No / Not yet known" sqref="B4">
      <x:formula1>"Yes,No,Not yet known"</x:formula1>
      <x:formula2>0</x:formula2>
    </x:dataValidation>
    <x:dataValidation type="list" allowBlank="1" errorTitle="Not on the list" error="Choose one of the listed options, or leave the cell blank." promptTitle="Select an option" prompt="Yes / No" sqref="B14:B24">
      <x:formula1>"Yes,No"</x:formula1>
      <x:formula2>0</x:formula2>
    </x:dataValidation>
  </x:dataValidations>
  <x:pageMargins left="0.7" right="0.7" top="0.75" bottom="0.75" header="0.3" footer="0.3"/>
</x:worksheet>
</file>